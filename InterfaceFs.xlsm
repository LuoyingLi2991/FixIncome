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oying.li\.spyder\"/>
    </mc:Choice>
  </mc:AlternateContent>
  <bookViews>
    <workbookView xWindow="0" yWindow="0" windowWidth="28800" windowHeight="12800"/>
  </bookViews>
  <sheets>
    <sheet name="Results" sheetId="1" r:id="rId1"/>
    <sheet name="FilePath" sheetId="2" r:id="rId2"/>
    <sheet name="TickersSummary" sheetId="3" r:id="rId3"/>
  </sheets>
  <functionGroups builtInGroupCount="18">
    <functionGroup name="xlwings"/>
  </functionGroups>
  <definedNames>
    <definedName name="Carry">Results!$M$36:$V$44</definedName>
    <definedName name="Flys">Results!$B$34:$K$41</definedName>
    <definedName name="RD">Results!$M$23:$V$31</definedName>
    <definedName name="SpotLvl" localSheetId="0">Results!$M$10:$V$19</definedName>
    <definedName name="Spreads">Results!$B$23:$K$32</definedName>
    <definedName name="TR">Results!$M$49:$V$57</definedName>
  </definedNames>
  <calcPr calcId="171027" concurrentCalc="0"/>
  <extLst>
    <ext xmlns:x14="http://schemas.microsoft.com/office/spreadsheetml/2009/9/main" uri="{8193D73E-4604-4355-AFF4-8A2333D13BE4}">
      <x14:definedNames>
        <x14:definedName name="ButterFlys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arry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ollDown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otCurveLv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reads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R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<sst xmlns="http://schemas.openxmlformats.org/spreadsheetml/2006/main" count="122" uniqueCount="38">
  <si>
    <t>1y</t>
  </si>
  <si>
    <t>DataBase Directory:</t>
  </si>
  <si>
    <t>C:\\Test.accdb;</t>
  </si>
  <si>
    <t>LooKBackWindow=</t>
  </si>
  <si>
    <t>Country=</t>
  </si>
  <si>
    <t>This File Directory:</t>
  </si>
  <si>
    <t>C:/users/luoying.li/.spyder/InterfaceFs.xlsm</t>
  </si>
  <si>
    <t>3m</t>
  </si>
  <si>
    <t>6m</t>
  </si>
  <si>
    <t>2y</t>
  </si>
  <si>
    <t>3y</t>
  </si>
  <si>
    <t>5y</t>
  </si>
  <si>
    <t>10y</t>
  </si>
  <si>
    <t>1W Before</t>
  </si>
  <si>
    <t>1M Before</t>
  </si>
  <si>
    <t>Spot Levels</t>
  </si>
  <si>
    <t>Today</t>
  </si>
  <si>
    <t>Level</t>
  </si>
  <si>
    <t>Z score</t>
  </si>
  <si>
    <t>Percentile</t>
  </si>
  <si>
    <t>2s5s</t>
  </si>
  <si>
    <t>5s10s</t>
  </si>
  <si>
    <t>2s10s</t>
  </si>
  <si>
    <t>1s2s</t>
  </si>
  <si>
    <t>2s3s</t>
  </si>
  <si>
    <t>1s3s</t>
  </si>
  <si>
    <t>3s5s</t>
  </si>
  <si>
    <t>Spreads Table</t>
  </si>
  <si>
    <t>today</t>
  </si>
  <si>
    <t>2s5s10s</t>
  </si>
  <si>
    <t>5s7s10s</t>
  </si>
  <si>
    <t>1s3s5s</t>
  </si>
  <si>
    <t>3s5s7s</t>
  </si>
  <si>
    <t>1s2s3s</t>
  </si>
  <si>
    <t>ButterFlys</t>
  </si>
  <si>
    <t>Carry Table</t>
  </si>
  <si>
    <t>Total Return</t>
  </si>
  <si>
    <t>Roll 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</si>
</sst>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</fills>
  <borders count="15">
    <border>
      <left/>
      <right/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2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9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 applyBorder="1" applyAlignment="1">
      <alignment horizontal="right"/>
    </xf>
    <xf numFmtId="2" fontId="0" fillId="0" borderId="1" xfId="0" applyNumberFormat="1" applyFill="1" applyBorder="1" applyAlignment="1">
      <alignment horizontal="left"/>
    </xf>
    <xf numFmtId="2" fontId="0" fillId="0" borderId="2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1" fillId="0" borderId="0" xfId="0" applyNumberFormat="1" applyFont="1" applyFill="1" applyBorder="1" applyAlignment="1">
      <alignment horizontal="center"/>
    </xf>
    <xf numFmtId="2" fontId="0" fillId="0" borderId="7" xfId="0" applyNumberFormat="1" applyFill="1" applyBorder="1" applyAlignment="1">
      <alignment horizontal="left"/>
    </xf>
    <xf numFmtId="164" fontId="0" fillId="0" borderId="10" xfId="0" applyNumberFormat="1" applyFill="1" applyBorder="1" applyAlignment="1">
      <alignment horizontal="left"/>
    </xf>
    <xf numFmtId="9" fontId="0" fillId="0" borderId="12" xfId="0" applyNumberFormat="1" applyFill="1" applyBorder="1" applyAlignment="1">
      <alignment horizontal="left"/>
    </xf>
    <xf numFmtId="9" fontId="0" fillId="0" borderId="3" xfId="0" applyNumberFormat="1" applyFill="1" applyBorder="1" applyAlignment="1">
      <alignment horizontal="left"/>
    </xf>
    <xf numFmtId="164" fontId="0" fillId="0" borderId="9" xfId="0" applyNumberFormat="1" applyFill="1" applyBorder="1" applyAlignment="1">
      <alignment horizontal="left"/>
    </xf>
    <xf numFmtId="9" fontId="0" fillId="0" borderId="11" xfId="0" applyNumberFormat="1" applyFill="1" applyBorder="1" applyAlignment="1">
      <alignment horizontal="left"/>
    </xf>
    <xf numFmtId="164" fontId="0" fillId="0" borderId="13" xfId="0" applyNumberFormat="1" applyFill="1" applyBorder="1" applyAlignment="1">
      <alignment horizontal="left"/>
    </xf>
    <xf numFmtId="9" fontId="0" fillId="0" borderId="14" xfId="0" applyNumberFormat="1" applyFill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0" fontId="0" fillId="0" borderId="2" xfId="0" applyNumberFormat="1" applyFill="1" applyBorder="1" applyAlignment="1">
      <alignment horizontal="left"/>
    </xf>
    <xf numFmtId="0" fontId="0" fillId="0" borderId="7" xfId="0" applyNumberFormat="1" applyFill="1" applyBorder="1" applyAlignment="1">
      <alignment horizontal="left"/>
    </xf>
    <xf numFmtId="165" fontId="0" fillId="0" borderId="8" xfId="0" applyNumberForma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165" fontId="0" fillId="0" borderId="5" xfId="0" applyNumberFormat="1" applyFill="1" applyBorder="1" applyAlignment="1">
      <alignment horizontal="left"/>
    </xf>
    <xf numFmtId="165" fontId="0" fillId="2" borderId="6" xfId="0" applyNumberFormat="1" applyFill="1" applyBorder="1" applyAlignment="1">
      <alignment horizontal="left"/>
    </xf>
    <xf numFmtId="165" fontId="0" fillId="3" borderId="6" xfId="0" applyNumberFormat="1" applyFill="1" applyBorder="1" applyAlignment="1">
      <alignment horizontal="left"/>
    </xf>
    <xf numFmtId="165" fontId="0" fillId="4" borderId="6" xfId="0" applyNumberForma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today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5</c:v>
              </c:pt>
              <c:pt idx="6">
                <c:v>10</c:v>
              </c:pt>
              <c:pt idx="7">
                <c:v>0</c:v>
              </c:pt>
            </c:numLit>
          </c:xVal>
          <c:yVal>
            <c:numRef>
              <c:f>Results!$N$13:$N$19</c:f>
              <c:numCache>
                <c:formatCode>0.000</c:formatCode>
                <c:ptCount val="7"/>
                <c:pt idx="0">
                  <c:v>1.3458999999999999</c:v>
                </c:pt>
                <c:pt idx="1">
                  <c:v>1.3900000000000001</c:v>
                </c:pt>
                <c:pt idx="2">
                  <c:v>1.4447000000000001</c:v>
                </c:pt>
                <c:pt idx="3">
                  <c:v>1.5543</c:v>
                </c:pt>
                <c:pt idx="4">
                  <c:v>1.6440000000000001</c:v>
                </c:pt>
                <c:pt idx="5">
                  <c:v>1.7997999999999998</c:v>
                </c:pt>
                <c:pt idx="6">
                  <c:v>2.1044999999999998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1F-474F-8F47-4187F0A99C0E}"/>
            </c:ext>
          </c:extLst>
        </c:ser>
        <c:ser>
          <c:idx val="1"/>
          <c:order val="1"/>
          <c:tx>
            <c:v>1W Before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5</c:v>
              </c:pt>
              <c:pt idx="6">
                <c:v>10</c:v>
              </c:pt>
              <c:pt idx="7">
                <c:v>0</c:v>
              </c:pt>
            </c:numLit>
          </c:xVal>
          <c:yVal>
            <c:numRef>
              <c:f>Results!$Q$13:$Q$19</c:f>
              <c:numCache>
                <c:formatCode>0.000</c:formatCode>
                <c:ptCount val="7"/>
                <c:pt idx="0">
                  <c:v>1.3452999999999999</c:v>
                </c:pt>
                <c:pt idx="1">
                  <c:v>1.3997999999999999</c:v>
                </c:pt>
                <c:pt idx="2">
                  <c:v>1.4679</c:v>
                </c:pt>
                <c:pt idx="3">
                  <c:v>1.5888</c:v>
                </c:pt>
                <c:pt idx="4">
                  <c:v>1.6879999999999999</c:v>
                </c:pt>
                <c:pt idx="5">
                  <c:v>1.8547</c:v>
                </c:pt>
                <c:pt idx="6">
                  <c:v>2.1755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1F-474F-8F47-4187F0A99C0E}"/>
            </c:ext>
          </c:extLst>
        </c:ser>
        <c:ser>
          <c:idx val="2"/>
          <c:order val="2"/>
          <c:tx>
            <c:v>1M Before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5</c:v>
              </c:pt>
              <c:pt idx="6">
                <c:v>10</c:v>
              </c:pt>
              <c:pt idx="7">
                <c:v>0</c:v>
              </c:pt>
            </c:numLit>
          </c:xVal>
          <c:yVal>
            <c:numRef>
              <c:f>Results!$T$13:$T$19</c:f>
              <c:numCache>
                <c:formatCode>0.000</c:formatCode>
                <c:ptCount val="7"/>
                <c:pt idx="0">
                  <c:v>1.3431</c:v>
                </c:pt>
                <c:pt idx="1">
                  <c:v>1.3848</c:v>
                </c:pt>
                <c:pt idx="2">
                  <c:v>1.4622999999999999</c:v>
                </c:pt>
                <c:pt idx="3">
                  <c:v>1.5996000000000001</c:v>
                </c:pt>
                <c:pt idx="4">
                  <c:v>1.7141</c:v>
                </c:pt>
                <c:pt idx="5">
                  <c:v>1.8955</c:v>
                </c:pt>
                <c:pt idx="6">
                  <c:v>2.2197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1F-474F-8F47-4187F0A99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29504"/>
        <c:axId val="349728848"/>
      </c:scatterChart>
      <c:valAx>
        <c:axId val="349729504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728848"/>
        <c:crosses val="autoZero"/>
        <c:crossBetween val="midCat"/>
      </c:valAx>
      <c:valAx>
        <c:axId val="349728848"/>
        <c:scaling>
          <c:orientation val="minMax"/>
          <c:min val="1.2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729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5</xdr:row>
          <xdr:rowOff>19050</xdr:rowOff>
        </xdr:from>
        <xdr:to>
          <xdr:col>0</xdr:col>
          <xdr:colOff>1231900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6</xdr:row>
      <xdr:rowOff>165100</xdr:rowOff>
    </xdr:from>
    <xdr:to>
      <xdr:col>10</xdr:col>
      <xdr:colOff>107950</xdr:colOff>
      <xdr:row>20</xdr:row>
      <xdr:rowOff>76200</xdr:rowOff>
    </xdr:to>
    <xdr:graphicFrame macro="">
      <xdr:nvGraphicFramePr>
        <xdr:cNvPr id="1030" name="Spot">
          <a:extLst>
            <a:ext uri="{FF2B5EF4-FFF2-40B4-BE49-F238E27FC236}">
              <a16:creationId xmlns:a16="http://schemas.microsoft.com/office/drawing/2014/main" id="{F5CEF533-C551-4CA4-86ED-2B23AC07C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1"/>
  <sheetViews>
    <sheetView tabSelected="1" workbookViewId="0">
      <selection activeCell="I48" sqref="I48"/>
    </sheetView>
  </sheetViews>
  <sheetFormatPr defaultColWidth="22.54296875" defaultRowHeight="14.5" x14ac:dyDescent="0.35"/>
  <cols>
    <col min="1" max="1" width="22.54296875" style="4"/>
    <col min="2" max="2" width="7.26953125" style="4" customWidth="1"/>
    <col min="3" max="3" width="6" style="4" customWidth="1"/>
    <col min="4" max="4" width="6.6328125" style="4" customWidth="1"/>
    <col min="5" max="5" width="9" style="4" customWidth="1"/>
    <col min="6" max="6" width="6" style="4" customWidth="1"/>
    <col min="7" max="7" width="6.6328125" style="4" customWidth="1"/>
    <col min="8" max="8" width="9" style="4" customWidth="1"/>
    <col min="9" max="9" width="6" style="4" customWidth="1"/>
    <col min="10" max="10" width="6.6328125" style="4" customWidth="1"/>
    <col min="11" max="11" width="9" style="4" customWidth="1"/>
    <col min="12" max="12" width="10.1796875" style="4" customWidth="1"/>
    <col min="13" max="13" width="3.7265625" style="4" customWidth="1"/>
    <col min="14" max="14" width="5.36328125" style="4" customWidth="1"/>
    <col min="15" max="15" width="6.6328125" style="4" customWidth="1"/>
    <col min="16" max="16" width="9" style="4" customWidth="1"/>
    <col min="17" max="17" width="5.36328125" style="4" customWidth="1"/>
    <col min="18" max="18" width="6.6328125" style="4" customWidth="1"/>
    <col min="19" max="19" width="9" style="4" customWidth="1"/>
    <col min="20" max="20" width="5.36328125" style="4" customWidth="1"/>
    <col min="21" max="21" width="6.6328125" style="4" customWidth="1"/>
    <col min="22" max="22" width="9" style="4" customWidth="1"/>
    <col min="23" max="23" width="7.1796875" style="4" customWidth="1"/>
    <col min="24" max="24" width="10.1796875" style="4" customWidth="1"/>
    <col min="25" max="25" width="22.54296875" style="4"/>
    <col min="26" max="26" width="4" style="4" customWidth="1"/>
    <col min="27" max="27" width="5.7265625" style="4" customWidth="1"/>
    <col min="28" max="28" width="7.1796875" style="4" customWidth="1"/>
    <col min="29" max="29" width="10.1796875" style="4" customWidth="1"/>
    <col min="30" max="30" width="5.7265625" style="4" customWidth="1"/>
    <col min="31" max="31" width="7.1796875" style="4" customWidth="1"/>
    <col min="32" max="32" width="10.1796875" style="4" customWidth="1"/>
    <col min="33" max="33" width="5.7265625" style="4" customWidth="1"/>
    <col min="34" max="34" width="7.1796875" style="4" customWidth="1"/>
    <col min="35" max="35" width="10.1796875" style="4" customWidth="1"/>
    <col min="36" max="16384" width="22.54296875" style="4"/>
  </cols>
  <sheetData>
    <row r="1" spans="1:22" x14ac:dyDescent="0.35">
      <c r="A1" s="6" t="s">
        <v>4</v>
      </c>
    </row>
    <row r="2" spans="1:22" x14ac:dyDescent="0.35">
      <c r="A2" s="6" t="s">
        <v>3</v>
      </c>
      <c r="B2" s="4" t="s">
        <v>9</v>
      </c>
    </row>
    <row r="4" spans="1:22" s="9" customFormat="1" x14ac:dyDescent="0.35"/>
    <row r="5" spans="1:22" s="9" customFormat="1" x14ac:dyDescent="0.35"/>
    <row r="6" spans="1:22" s="9" customFormat="1" x14ac:dyDescent="0.35">
      <c r="M6" s="10"/>
      <c r="N6" s="11"/>
      <c r="O6" s="11"/>
      <c r="P6" s="11"/>
      <c r="Q6" s="11"/>
      <c r="R6" s="11"/>
      <c r="S6" s="11"/>
      <c r="T6" s="11"/>
      <c r="U6" s="11"/>
      <c r="V6" s="11"/>
    </row>
    <row r="7" spans="1:22" s="9" customFormat="1" x14ac:dyDescent="0.35">
      <c r="M7" s="11"/>
      <c r="N7" s="11"/>
      <c r="O7" s="11"/>
      <c r="P7" s="11"/>
      <c r="Q7" s="11"/>
      <c r="R7" s="11"/>
      <c r="S7" s="11"/>
      <c r="T7" s="11"/>
      <c r="U7" s="11"/>
      <c r="V7" s="11"/>
    </row>
    <row r="8" spans="1:22" s="9" customFormat="1" x14ac:dyDescent="0.35"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 s="9" customFormat="1" x14ac:dyDescent="0.35"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 s="9" customFormat="1" ht="15" thickBot="1" x14ac:dyDescent="0.4">
      <c r="M10" s="10" t="s">
        <v>15</v>
      </c>
      <c r="N10" s="11"/>
      <c r="O10" s="11"/>
      <c r="P10" s="11"/>
      <c r="Q10" s="11"/>
      <c r="R10" s="11"/>
      <c r="S10" s="11"/>
      <c r="T10" s="11"/>
      <c r="U10" s="11"/>
      <c r="V10" s="11"/>
    </row>
    <row r="11" spans="1:22" s="9" customFormat="1" ht="15.5" thickTop="1" thickBot="1" x14ac:dyDescent="0.4">
      <c r="M11" s="13"/>
      <c r="N11" s="27" t="s">
        <v>28</v>
      </c>
      <c r="O11" s="19"/>
      <c r="P11" s="20"/>
      <c r="Q11" s="28" t="s">
        <v>13</v>
      </c>
      <c r="R11" s="19"/>
      <c r="S11" s="20"/>
      <c r="T11" s="29" t="s">
        <v>14</v>
      </c>
      <c r="U11" s="19"/>
      <c r="V11" s="20"/>
    </row>
    <row r="12" spans="1:22" s="9" customFormat="1" ht="15.5" thickTop="1" thickBot="1" x14ac:dyDescent="0.4">
      <c r="M12" s="8"/>
      <c r="N12" s="24" t="s">
        <v>17</v>
      </c>
      <c r="O12" s="14" t="s">
        <v>18</v>
      </c>
      <c r="P12" s="15" t="s">
        <v>19</v>
      </c>
      <c r="Q12" s="24" t="s">
        <v>17</v>
      </c>
      <c r="R12" s="14" t="s">
        <v>18</v>
      </c>
      <c r="S12" s="15" t="s">
        <v>19</v>
      </c>
      <c r="T12" s="24" t="s">
        <v>17</v>
      </c>
      <c r="U12" s="14" t="s">
        <v>18</v>
      </c>
      <c r="V12" s="15" t="s">
        <v>19</v>
      </c>
    </row>
    <row r="13" spans="1:22" s="9" customFormat="1" ht="15" thickTop="1" x14ac:dyDescent="0.35">
      <c r="M13" s="7" t="s">
        <v>7</v>
      </c>
      <c r="N13" s="25">
        <v>1.3458999999999999</v>
      </c>
      <c r="O13" s="2">
        <v>3.0283582180283171</v>
      </c>
      <c r="P13" s="16">
        <v>0.99801980198019802</v>
      </c>
      <c r="Q13" s="25">
        <v>1.3452999999999999</v>
      </c>
      <c r="R13" s="2">
        <v>3.0814381191548317</v>
      </c>
      <c r="S13" s="16">
        <v>0.99801980198019802</v>
      </c>
      <c r="T13" s="25">
        <v>1.3431</v>
      </c>
      <c r="U13" s="2">
        <v>3.3358215996890159</v>
      </c>
      <c r="V13" s="16">
        <v>0.99801980198019802</v>
      </c>
    </row>
    <row r="14" spans="1:22" s="9" customFormat="1" x14ac:dyDescent="0.35">
      <c r="M14" s="7" t="s">
        <v>8</v>
      </c>
      <c r="N14" s="25">
        <v>1.3900000000000001</v>
      </c>
      <c r="O14" s="2">
        <v>2.9350955983599141</v>
      </c>
      <c r="P14" s="16">
        <v>0.98019801980198029</v>
      </c>
      <c r="Q14" s="25">
        <v>1.3997999999999999</v>
      </c>
      <c r="R14" s="2">
        <v>3.0267469064862644</v>
      </c>
      <c r="S14" s="16">
        <v>0.98019801980198029</v>
      </c>
      <c r="T14" s="25">
        <v>1.3848</v>
      </c>
      <c r="U14" s="2">
        <v>3.1003156750602656</v>
      </c>
      <c r="V14" s="16">
        <v>0.98019801980198029</v>
      </c>
    </row>
    <row r="15" spans="1:22" s="9" customFormat="1" x14ac:dyDescent="0.35">
      <c r="M15" s="21" t="s">
        <v>0</v>
      </c>
      <c r="N15" s="25">
        <v>1.4447000000000001</v>
      </c>
      <c r="O15" s="2">
        <v>3.3030848732626925</v>
      </c>
      <c r="P15" s="16">
        <v>0.93663366336633669</v>
      </c>
      <c r="Q15" s="25">
        <v>1.4679</v>
      </c>
      <c r="R15" s="2">
        <v>3.3484883933989016</v>
      </c>
      <c r="S15" s="16">
        <v>0.93663366336633669</v>
      </c>
      <c r="T15" s="25">
        <v>1.4622999999999999</v>
      </c>
      <c r="U15" s="2">
        <v>3.2491153950523977</v>
      </c>
      <c r="V15" s="16">
        <v>0.93663366336633669</v>
      </c>
    </row>
    <row r="16" spans="1:22" s="9" customFormat="1" x14ac:dyDescent="0.35">
      <c r="M16" s="21" t="s">
        <v>9</v>
      </c>
      <c r="N16" s="25">
        <v>1.5543</v>
      </c>
      <c r="O16" s="2">
        <v>3.5575448632789737</v>
      </c>
      <c r="P16" s="16">
        <v>0.81782178217821777</v>
      </c>
      <c r="Q16" s="25">
        <v>1.5888</v>
      </c>
      <c r="R16" s="2">
        <v>3.8682066527442793</v>
      </c>
      <c r="S16" s="16">
        <v>0.81782178217821777</v>
      </c>
      <c r="T16" s="25">
        <v>1.5996000000000001</v>
      </c>
      <c r="U16" s="2">
        <v>3.8177665797850184</v>
      </c>
      <c r="V16" s="16">
        <v>0.81782178217821777</v>
      </c>
    </row>
    <row r="17" spans="2:22" s="9" customFormat="1" x14ac:dyDescent="0.35">
      <c r="M17" s="21" t="s">
        <v>10</v>
      </c>
      <c r="N17" s="25">
        <v>1.6440000000000001</v>
      </c>
      <c r="O17" s="2">
        <v>2.6139923796869522</v>
      </c>
      <c r="P17" s="16">
        <v>0.68910891089108905</v>
      </c>
      <c r="Q17" s="25">
        <v>1.6879999999999999</v>
      </c>
      <c r="R17" s="2">
        <v>2.9585842836492153</v>
      </c>
      <c r="S17" s="16">
        <v>0.68910891089108905</v>
      </c>
      <c r="T17" s="25">
        <v>1.7141</v>
      </c>
      <c r="U17" s="2">
        <v>3.0915276658214337</v>
      </c>
      <c r="V17" s="16">
        <v>0.68910891089108905</v>
      </c>
    </row>
    <row r="18" spans="2:22" s="9" customFormat="1" x14ac:dyDescent="0.35">
      <c r="M18" s="21" t="s">
        <v>11</v>
      </c>
      <c r="N18" s="25">
        <v>1.7997999999999998</v>
      </c>
      <c r="O18" s="2">
        <v>1.4856127051757686</v>
      </c>
      <c r="P18" s="16">
        <v>0.63366336633663367</v>
      </c>
      <c r="Q18" s="25">
        <v>1.8547</v>
      </c>
      <c r="R18" s="2">
        <v>1.8187627735147569</v>
      </c>
      <c r="S18" s="16">
        <v>0.63366336633663367</v>
      </c>
      <c r="T18" s="25">
        <v>1.8955</v>
      </c>
      <c r="U18" s="2">
        <v>2.0276647168276387</v>
      </c>
      <c r="V18" s="16">
        <v>0.63366336633663367</v>
      </c>
    </row>
    <row r="19" spans="2:22" s="9" customFormat="1" ht="15" thickBot="1" x14ac:dyDescent="0.4">
      <c r="M19" s="22" t="s">
        <v>12</v>
      </c>
      <c r="N19" s="26">
        <v>2.1044999999999998</v>
      </c>
      <c r="O19" s="17">
        <v>1.1063796116787961</v>
      </c>
      <c r="P19" s="18">
        <v>0.5108910891089109</v>
      </c>
      <c r="Q19" s="26">
        <v>2.1755</v>
      </c>
      <c r="R19" s="17">
        <v>1.668217738583744</v>
      </c>
      <c r="S19" s="18">
        <v>0.5108910891089109</v>
      </c>
      <c r="T19" s="26">
        <v>2.2197</v>
      </c>
      <c r="U19" s="17">
        <v>2.0141215165885993</v>
      </c>
      <c r="V19" s="18">
        <v>0.5108910891089109</v>
      </c>
    </row>
    <row r="20" spans="2:22" s="9" customFormat="1" ht="15" thickTop="1" x14ac:dyDescent="0.35"/>
    <row r="21" spans="2:22" s="9" customFormat="1" x14ac:dyDescent="0.35"/>
    <row r="22" spans="2:22" s="9" customFormat="1" x14ac:dyDescent="0.35"/>
    <row r="23" spans="2:22" s="9" customFormat="1" ht="15" thickBot="1" x14ac:dyDescent="0.4">
      <c r="B23" s="10" t="s">
        <v>27</v>
      </c>
      <c r="C23" s="11"/>
      <c r="D23" s="11"/>
      <c r="E23" s="11"/>
      <c r="F23" s="11"/>
      <c r="G23" s="11"/>
      <c r="H23" s="11"/>
      <c r="I23" s="11"/>
      <c r="J23" s="11"/>
      <c r="K23" s="11"/>
      <c r="M23" s="10" t="s">
        <v>37</v>
      </c>
      <c r="N23" s="11"/>
      <c r="O23" s="11"/>
      <c r="P23" s="11"/>
      <c r="Q23" s="11"/>
      <c r="R23" s="11"/>
      <c r="S23" s="11"/>
      <c r="T23" s="11"/>
      <c r="U23" s="11"/>
      <c r="V23" s="11"/>
    </row>
    <row r="24" spans="2:22" s="9" customFormat="1" ht="15.5" thickTop="1" thickBot="1" x14ac:dyDescent="0.4">
      <c r="B24" s="23"/>
      <c r="C24" s="27" t="s">
        <v>16</v>
      </c>
      <c r="D24" s="19"/>
      <c r="E24" s="20"/>
      <c r="F24" s="28" t="s">
        <v>13</v>
      </c>
      <c r="G24" s="19"/>
      <c r="H24" s="20"/>
      <c r="I24" s="29" t="s">
        <v>14</v>
      </c>
      <c r="J24" s="19"/>
      <c r="K24" s="20"/>
      <c r="M24" s="23"/>
      <c r="N24" s="27" t="s">
        <v>28</v>
      </c>
      <c r="O24" s="19"/>
      <c r="P24" s="20"/>
      <c r="Q24" s="28" t="s">
        <v>13</v>
      </c>
      <c r="R24" s="19"/>
      <c r="S24" s="20"/>
      <c r="T24" s="29" t="s">
        <v>14</v>
      </c>
      <c r="U24" s="19"/>
      <c r="V24" s="20"/>
    </row>
    <row r="25" spans="2:22" s="9" customFormat="1" ht="15.5" thickTop="1" thickBot="1" x14ac:dyDescent="0.4">
      <c r="B25" s="22"/>
      <c r="C25" s="24" t="s">
        <v>17</v>
      </c>
      <c r="D25" s="14" t="s">
        <v>18</v>
      </c>
      <c r="E25" s="15" t="s">
        <v>19</v>
      </c>
      <c r="F25" s="24" t="s">
        <v>17</v>
      </c>
      <c r="G25" s="14" t="s">
        <v>18</v>
      </c>
      <c r="H25" s="15" t="s">
        <v>19</v>
      </c>
      <c r="I25" s="24" t="s">
        <v>17</v>
      </c>
      <c r="J25" s="14" t="s">
        <v>18</v>
      </c>
      <c r="K25" s="15" t="s">
        <v>19</v>
      </c>
      <c r="M25" s="22"/>
      <c r="N25" s="24" t="s">
        <v>17</v>
      </c>
      <c r="O25" s="14" t="s">
        <v>18</v>
      </c>
      <c r="P25" s="15" t="s">
        <v>19</v>
      </c>
      <c r="Q25" s="24" t="s">
        <v>17</v>
      </c>
      <c r="R25" s="14" t="s">
        <v>18</v>
      </c>
      <c r="S25" s="15" t="s">
        <v>19</v>
      </c>
      <c r="T25" s="24" t="s">
        <v>17</v>
      </c>
      <c r="U25" s="14" t="s">
        <v>18</v>
      </c>
      <c r="V25" s="15" t="s">
        <v>19</v>
      </c>
    </row>
    <row r="26" spans="2:22" s="9" customFormat="1" ht="15" thickTop="1" x14ac:dyDescent="0.35">
      <c r="B26" s="21" t="s">
        <v>20</v>
      </c>
      <c r="C26" s="25">
        <v>0.24549999999999983</v>
      </c>
      <c r="D26" s="2">
        <v>-2.1806995964967717</v>
      </c>
      <c r="E26" s="16">
        <v>0.17623762376237623</v>
      </c>
      <c r="F26" s="25">
        <v>0.26590000000000003</v>
      </c>
      <c r="G26" s="2">
        <v>-1.8929458900669056</v>
      </c>
      <c r="H26" s="16">
        <v>0.17623762376237623</v>
      </c>
      <c r="I26" s="25">
        <v>0.29589999999999983</v>
      </c>
      <c r="J26" s="2">
        <v>-1.4778756735091629</v>
      </c>
      <c r="K26" s="16">
        <v>0.17623762376237623</v>
      </c>
      <c r="M26" s="21" t="s">
        <v>8</v>
      </c>
      <c r="N26" s="25">
        <v>4.410000000000025E-2</v>
      </c>
      <c r="O26" s="2">
        <v>-0.9597877436847555</v>
      </c>
      <c r="P26" s="16">
        <v>0.36633663366336633</v>
      </c>
      <c r="Q26" s="25">
        <v>5.4500000000000215E-2</v>
      </c>
      <c r="R26" s="2">
        <v>-7.2237947269547881E-2</v>
      </c>
      <c r="S26" s="16">
        <v>0.36633663366336633</v>
      </c>
      <c r="T26" s="25">
        <v>4.1699999999999848E-2</v>
      </c>
      <c r="U26" s="2">
        <v>-1.1741522450001005</v>
      </c>
      <c r="V26" s="16">
        <v>0.36633663366336633</v>
      </c>
    </row>
    <row r="27" spans="2:22" s="9" customFormat="1" x14ac:dyDescent="0.35">
      <c r="B27" s="21" t="s">
        <v>21</v>
      </c>
      <c r="C27" s="25">
        <v>0.30469999999999997</v>
      </c>
      <c r="D27" s="2">
        <v>-2.6167852158887297</v>
      </c>
      <c r="E27" s="16">
        <v>0.11881188118811881</v>
      </c>
      <c r="F27" s="25">
        <v>0.3208000000000002</v>
      </c>
      <c r="G27" s="2">
        <v>-2.19094440538833</v>
      </c>
      <c r="H27" s="16">
        <v>0.11881188118811881</v>
      </c>
      <c r="I27" s="25">
        <v>0.32419999999999982</v>
      </c>
      <c r="J27" s="2">
        <v>-2.075272589003109</v>
      </c>
      <c r="K27" s="16">
        <v>0.11881188118811881</v>
      </c>
      <c r="M27" s="21" t="s">
        <v>0</v>
      </c>
      <c r="N27" s="25">
        <v>2.4648166678378436E-2</v>
      </c>
      <c r="O27" s="2">
        <v>-2.2341583597578052</v>
      </c>
      <c r="P27" s="16">
        <v>0.15445544554455445</v>
      </c>
      <c r="Q27" s="25">
        <v>3.0288934544304924E-2</v>
      </c>
      <c r="R27" s="2">
        <v>-1.6637074219400101</v>
      </c>
      <c r="S27" s="16">
        <v>0.15445544554455445</v>
      </c>
      <c r="T27" s="25">
        <v>3.7890294779003408E-2</v>
      </c>
      <c r="U27" s="2">
        <v>-0.91859211067247282</v>
      </c>
      <c r="V27" s="16">
        <v>0.15445544554455445</v>
      </c>
    </row>
    <row r="28" spans="2:22" s="9" customFormat="1" x14ac:dyDescent="0.35">
      <c r="B28" s="21" t="s">
        <v>22</v>
      </c>
      <c r="C28" s="25">
        <v>0.5501999999999998</v>
      </c>
      <c r="D28" s="2">
        <v>-2.2023763732119819</v>
      </c>
      <c r="E28" s="16">
        <v>0.15247524752475247</v>
      </c>
      <c r="F28" s="25">
        <v>0.58670000000000022</v>
      </c>
      <c r="G28" s="2">
        <v>-1.8803953008130909</v>
      </c>
      <c r="H28" s="16">
        <v>0.15247524752475247</v>
      </c>
      <c r="I28" s="25">
        <v>0.62009999999999965</v>
      </c>
      <c r="J28" s="2">
        <v>-1.5845308880559361</v>
      </c>
      <c r="K28" s="16">
        <v>0.15247524752475247</v>
      </c>
      <c r="M28" s="21" t="s">
        <v>9</v>
      </c>
      <c r="N28" s="25">
        <v>2.7130031138008048E-2</v>
      </c>
      <c r="O28" s="2">
        <v>-1.8507432801481798</v>
      </c>
      <c r="P28" s="16">
        <v>0.27920792079207923</v>
      </c>
      <c r="Q28" s="25">
        <v>2.9216750920086021E-2</v>
      </c>
      <c r="R28" s="2">
        <v>-1.6091595112710384</v>
      </c>
      <c r="S28" s="16">
        <v>0.27920792079207923</v>
      </c>
      <c r="T28" s="25">
        <v>3.2128743675778226E-2</v>
      </c>
      <c r="U28" s="2">
        <v>-1.2654565023528259</v>
      </c>
      <c r="V28" s="16">
        <v>0.27920792079207923</v>
      </c>
    </row>
    <row r="29" spans="2:22" s="9" customFormat="1" x14ac:dyDescent="0.35">
      <c r="B29" s="21" t="s">
        <v>23</v>
      </c>
      <c r="C29" s="25">
        <v>0.1095999999999997</v>
      </c>
      <c r="D29" s="2">
        <v>-1.8877943960717991</v>
      </c>
      <c r="E29" s="16">
        <v>0.25544554455445545</v>
      </c>
      <c r="F29" s="25">
        <v>0.12089999999999956</v>
      </c>
      <c r="G29" s="2">
        <v>-1.5838593437485069</v>
      </c>
      <c r="H29" s="16">
        <v>0.25544554455445545</v>
      </c>
      <c r="I29" s="25">
        <v>0.13730000000000042</v>
      </c>
      <c r="J29" s="2">
        <v>-1.1515810393718049</v>
      </c>
      <c r="K29" s="16">
        <v>0.25544554455445545</v>
      </c>
      <c r="M29" s="21" t="s">
        <v>10</v>
      </c>
      <c r="N29" s="25">
        <v>2.0601906686985583E-2</v>
      </c>
      <c r="O29" s="2">
        <v>-2.2777644322918165</v>
      </c>
      <c r="P29" s="16">
        <v>0.18415841584158416</v>
      </c>
      <c r="Q29" s="25">
        <v>2.2930870184368457E-2</v>
      </c>
      <c r="R29" s="2">
        <v>-1.9369787152858085</v>
      </c>
      <c r="S29" s="16">
        <v>0.18415841584158416</v>
      </c>
      <c r="T29" s="25">
        <v>2.6770686441570657E-2</v>
      </c>
      <c r="U29" s="2">
        <v>-1.3912620840848988</v>
      </c>
      <c r="V29" s="16">
        <v>0.18415841584158416</v>
      </c>
    </row>
    <row r="30" spans="2:22" s="9" customFormat="1" x14ac:dyDescent="0.35">
      <c r="B30" s="21" t="s">
        <v>24</v>
      </c>
      <c r="C30" s="25">
        <v>8.9699999999999891E-2</v>
      </c>
      <c r="D30" s="2">
        <v>-2.1650880128468475</v>
      </c>
      <c r="E30" s="16">
        <v>0.19603960396039605</v>
      </c>
      <c r="F30" s="25">
        <v>9.9199999999999955E-2</v>
      </c>
      <c r="G30" s="2">
        <v>-1.8435942451460137</v>
      </c>
      <c r="H30" s="16">
        <v>0.19603960396039605</v>
      </c>
      <c r="I30" s="25">
        <v>0.11449999999999938</v>
      </c>
      <c r="J30" s="2">
        <v>-1.3404013878398922</v>
      </c>
      <c r="K30" s="16">
        <v>0.19603960396039605</v>
      </c>
      <c r="M30" s="21" t="s">
        <v>11</v>
      </c>
      <c r="N30" s="25">
        <v>1.8605265156173001E-2</v>
      </c>
      <c r="O30" s="2">
        <v>-2.1694213101613711</v>
      </c>
      <c r="P30" s="16">
        <v>0.1603960396039604</v>
      </c>
      <c r="Q30" s="25">
        <v>1.9370073398302878E-2</v>
      </c>
      <c r="R30" s="2">
        <v>-1.955061672069367</v>
      </c>
      <c r="S30" s="16">
        <v>0.1603960396039604</v>
      </c>
      <c r="T30" s="25">
        <v>1.9930543378013033E-2</v>
      </c>
      <c r="U30" s="2">
        <v>-1.802397799184043</v>
      </c>
      <c r="V30" s="16">
        <v>0.1603960396039604</v>
      </c>
    </row>
    <row r="31" spans="2:22" s="9" customFormat="1" ht="15" thickBot="1" x14ac:dyDescent="0.4">
      <c r="B31" s="21" t="s">
        <v>25</v>
      </c>
      <c r="C31" s="25">
        <v>0.19929999999999959</v>
      </c>
      <c r="D31" s="2">
        <v>-2.0652593462748698</v>
      </c>
      <c r="E31" s="16">
        <v>0.2336633663366337</v>
      </c>
      <c r="F31" s="25">
        <v>0.22009999999999952</v>
      </c>
      <c r="G31" s="2">
        <v>-1.7266246906550613</v>
      </c>
      <c r="H31" s="16">
        <v>0.2336633663366337</v>
      </c>
      <c r="I31" s="25">
        <v>0.2517999999999998</v>
      </c>
      <c r="J31" s="2">
        <v>-1.2546124493763635</v>
      </c>
      <c r="K31" s="16">
        <v>0.2336633663366337</v>
      </c>
      <c r="M31" s="22" t="s">
        <v>12</v>
      </c>
      <c r="N31" s="26">
        <v>1.1693870577436982E-2</v>
      </c>
      <c r="O31" s="17">
        <v>-2.4012087015481645</v>
      </c>
      <c r="P31" s="18">
        <v>0.10891089108910892</v>
      </c>
      <c r="Q31" s="26">
        <v>1.3719998956942536E-2</v>
      </c>
      <c r="R31" s="17">
        <v>-1.4860677212244677</v>
      </c>
      <c r="S31" s="18">
        <v>0.10891089108910892</v>
      </c>
      <c r="T31" s="26">
        <v>1.5760246578771397E-2</v>
      </c>
      <c r="U31" s="17">
        <v>-0.62141852429392874</v>
      </c>
      <c r="V31" s="18">
        <v>0.10891089108910892</v>
      </c>
    </row>
    <row r="32" spans="2:22" s="9" customFormat="1" ht="15.5" thickTop="1" thickBot="1" x14ac:dyDescent="0.4">
      <c r="B32" s="22" t="s">
        <v>26</v>
      </c>
      <c r="C32" s="26">
        <v>0.15579999999999994</v>
      </c>
      <c r="D32" s="17">
        <v>-2.18581934465315</v>
      </c>
      <c r="E32" s="18">
        <v>0.16237623762376238</v>
      </c>
      <c r="F32" s="26">
        <v>0.16670000000000007</v>
      </c>
      <c r="G32" s="17">
        <v>-1.917070366240017</v>
      </c>
      <c r="H32" s="18">
        <v>0.16237623762376238</v>
      </c>
      <c r="I32" s="26">
        <v>0.18140000000000045</v>
      </c>
      <c r="J32" s="17">
        <v>-1.5613246515456736</v>
      </c>
      <c r="K32" s="18">
        <v>0.16237623762376238</v>
      </c>
      <c r="M32" s="11"/>
      <c r="N32" s="1"/>
      <c r="O32" s="2"/>
      <c r="P32" s="3"/>
      <c r="Q32" s="1"/>
      <c r="R32" s="2"/>
      <c r="S32" s="3"/>
      <c r="T32" s="1"/>
      <c r="U32" s="2"/>
      <c r="V32" s="3"/>
    </row>
    <row r="33" spans="2:22" s="9" customFormat="1" ht="15" thickTop="1" x14ac:dyDescent="0.35"/>
    <row r="34" spans="2:22" s="9" customFormat="1" ht="15" thickBot="1" x14ac:dyDescent="0.4">
      <c r="B34" s="10" t="s">
        <v>34</v>
      </c>
      <c r="C34" s="11"/>
      <c r="D34" s="11"/>
      <c r="E34" s="11"/>
      <c r="F34" s="11"/>
      <c r="G34" s="11"/>
      <c r="H34" s="11"/>
      <c r="I34" s="11"/>
      <c r="J34" s="11"/>
      <c r="K34" s="11"/>
    </row>
    <row r="35" spans="2:22" s="9" customFormat="1" ht="15.5" thickTop="1" thickBot="1" x14ac:dyDescent="0.4">
      <c r="B35" s="23"/>
      <c r="C35" s="27" t="s">
        <v>28</v>
      </c>
      <c r="D35" s="19"/>
      <c r="E35" s="20"/>
      <c r="F35" s="28" t="s">
        <v>13</v>
      </c>
      <c r="G35" s="19"/>
      <c r="H35" s="20"/>
      <c r="I35" s="29" t="s">
        <v>14</v>
      </c>
      <c r="J35" s="19"/>
      <c r="K35" s="20"/>
    </row>
    <row r="36" spans="2:22" s="9" customFormat="1" ht="15.5" thickTop="1" thickBot="1" x14ac:dyDescent="0.4">
      <c r="B36" s="22"/>
      <c r="C36" s="24" t="s">
        <v>17</v>
      </c>
      <c r="D36" s="14" t="s">
        <v>18</v>
      </c>
      <c r="E36" s="15" t="s">
        <v>19</v>
      </c>
      <c r="F36" s="24" t="s">
        <v>17</v>
      </c>
      <c r="G36" s="14" t="s">
        <v>18</v>
      </c>
      <c r="H36" s="15" t="s">
        <v>19</v>
      </c>
      <c r="I36" s="24" t="s">
        <v>17</v>
      </c>
      <c r="J36" s="14" t="s">
        <v>18</v>
      </c>
      <c r="K36" s="15" t="s">
        <v>19</v>
      </c>
      <c r="M36" s="10" t="s">
        <v>35</v>
      </c>
      <c r="N36" s="11"/>
      <c r="O36" s="11"/>
      <c r="P36" s="11"/>
      <c r="Q36" s="11"/>
      <c r="R36" s="11"/>
      <c r="S36" s="11"/>
      <c r="T36" s="11"/>
      <c r="U36" s="11"/>
      <c r="V36" s="11"/>
    </row>
    <row r="37" spans="2:22" s="9" customFormat="1" ht="15.5" thickTop="1" thickBot="1" x14ac:dyDescent="0.4">
      <c r="B37" s="21" t="s">
        <v>29</v>
      </c>
      <c r="C37" s="25">
        <v>-5.9200000000000141E-2</v>
      </c>
      <c r="D37" s="2">
        <v>-1.3743901000781982</v>
      </c>
      <c r="E37" s="16">
        <v>0.3584158415841584</v>
      </c>
      <c r="F37" s="25">
        <v>-5.4900000000000393E-2</v>
      </c>
      <c r="G37" s="2">
        <v>-1.2775768171010593</v>
      </c>
      <c r="H37" s="16">
        <v>0.3584158415841584</v>
      </c>
      <c r="I37" s="25">
        <v>-2.8300000000000214E-2</v>
      </c>
      <c r="J37" s="2">
        <v>-0.67885389299212762</v>
      </c>
      <c r="K37" s="16">
        <v>0.3584158415841584</v>
      </c>
      <c r="M37" s="23"/>
      <c r="N37" s="27" t="s">
        <v>28</v>
      </c>
      <c r="O37" s="19"/>
      <c r="P37" s="20"/>
      <c r="Q37" s="28" t="s">
        <v>13</v>
      </c>
      <c r="R37" s="19"/>
      <c r="S37" s="20"/>
      <c r="T37" s="29" t="s">
        <v>14</v>
      </c>
      <c r="U37" s="19"/>
      <c r="V37" s="20"/>
    </row>
    <row r="38" spans="2:22" s="9" customFormat="1" ht="15.5" thickTop="1" thickBot="1" x14ac:dyDescent="0.4">
      <c r="B38" s="21" t="s">
        <v>30</v>
      </c>
      <c r="C38" s="25">
        <v>-2.7889560817932146E-2</v>
      </c>
      <c r="D38" s="2">
        <v>0.30434214218042688</v>
      </c>
      <c r="E38" s="16">
        <v>0.6</v>
      </c>
      <c r="F38" s="25">
        <v>-3.68645885742378E-2</v>
      </c>
      <c r="G38" s="2">
        <v>-0.23479922230953096</v>
      </c>
      <c r="H38" s="16">
        <v>0.6</v>
      </c>
      <c r="I38" s="25">
        <v>-4.4085787365608642E-2</v>
      </c>
      <c r="J38" s="2">
        <v>-0.60598269584017195</v>
      </c>
      <c r="K38" s="16">
        <v>0.6</v>
      </c>
      <c r="M38" s="22"/>
      <c r="N38" s="24" t="s">
        <v>17</v>
      </c>
      <c r="O38" s="14" t="s">
        <v>18</v>
      </c>
      <c r="P38" s="15" t="s">
        <v>19</v>
      </c>
      <c r="Q38" s="24" t="s">
        <v>17</v>
      </c>
      <c r="R38" s="14" t="s">
        <v>18</v>
      </c>
      <c r="S38" s="15" t="s">
        <v>19</v>
      </c>
      <c r="T38" s="24" t="s">
        <v>17</v>
      </c>
      <c r="U38" s="14" t="s">
        <v>18</v>
      </c>
      <c r="V38" s="15" t="s">
        <v>19</v>
      </c>
    </row>
    <row r="39" spans="2:22" s="9" customFormat="1" ht="15" thickTop="1" x14ac:dyDescent="0.35">
      <c r="B39" s="21" t="s">
        <v>31</v>
      </c>
      <c r="C39" s="25">
        <v>4.349999999999965E-2</v>
      </c>
      <c r="D39" s="2">
        <v>-1.1867231317639013</v>
      </c>
      <c r="E39" s="16">
        <v>0.34653465346534651</v>
      </c>
      <c r="F39" s="25">
        <v>5.3399999999999448E-2</v>
      </c>
      <c r="G39" s="2">
        <v>-0.92546035750332378</v>
      </c>
      <c r="H39" s="16">
        <v>0.34653465346534651</v>
      </c>
      <c r="I39" s="25">
        <v>7.0399999999999352E-2</v>
      </c>
      <c r="J39" s="2">
        <v>-0.49893696819350097</v>
      </c>
      <c r="K39" s="16">
        <v>0.34653465346534651</v>
      </c>
      <c r="M39" s="21" t="s">
        <v>8</v>
      </c>
      <c r="N39" s="25">
        <v>2.1599999999999842E-2</v>
      </c>
      <c r="O39" s="2">
        <v>-0.89143964115136765</v>
      </c>
      <c r="P39" s="16">
        <v>0.24554455445544554</v>
      </c>
      <c r="Q39" s="25">
        <v>1.8299999999999761E-2</v>
      </c>
      <c r="R39" s="2">
        <v>-1.0034975521930036</v>
      </c>
      <c r="S39" s="16">
        <v>0.24554455445544554</v>
      </c>
      <c r="T39" s="25">
        <v>1.0500000000000176E-2</v>
      </c>
      <c r="U39" s="2">
        <v>-1.2708680937850239</v>
      </c>
      <c r="V39" s="16">
        <v>0.24554455445544554</v>
      </c>
    </row>
    <row r="40" spans="2:22" s="9" customFormat="1" x14ac:dyDescent="0.35">
      <c r="B40" s="21" t="s">
        <v>32</v>
      </c>
      <c r="C40" s="25">
        <v>1.7394780408966026E-2</v>
      </c>
      <c r="D40" s="2">
        <v>-2.0554326286644913</v>
      </c>
      <c r="E40" s="16">
        <v>0.28316831683168314</v>
      </c>
      <c r="F40" s="25">
        <v>2.4732294287118872E-2</v>
      </c>
      <c r="G40" s="2">
        <v>-1.7021167792223033</v>
      </c>
      <c r="H40" s="16">
        <v>0.28316831683168314</v>
      </c>
      <c r="I40" s="25">
        <v>4.134289368280486E-2</v>
      </c>
      <c r="J40" s="2">
        <v>-0.9451023164909238</v>
      </c>
      <c r="K40" s="16">
        <v>0.28316831683168314</v>
      </c>
      <c r="M40" s="21" t="s">
        <v>0</v>
      </c>
      <c r="N40" s="25">
        <v>3.9627320813715894E-2</v>
      </c>
      <c r="O40" s="2">
        <v>-9.6581582118583226E-3</v>
      </c>
      <c r="P40" s="16">
        <v>0.47722772277227721</v>
      </c>
      <c r="Q40" s="25">
        <v>2.3592432365961535E-2</v>
      </c>
      <c r="R40" s="2">
        <v>-0.45360074599018485</v>
      </c>
      <c r="S40" s="16">
        <v>0.47722772277227721</v>
      </c>
      <c r="T40" s="25">
        <v>1.0263261541704871E-2</v>
      </c>
      <c r="U40" s="2">
        <v>-0.81896536586494317</v>
      </c>
      <c r="V40" s="16">
        <v>0.47722772277227721</v>
      </c>
    </row>
    <row r="41" spans="2:22" s="9" customFormat="1" ht="15" thickBot="1" x14ac:dyDescent="0.4">
      <c r="B41" s="22" t="s">
        <v>33</v>
      </c>
      <c r="C41" s="26">
        <v>1.9899999999999807E-2</v>
      </c>
      <c r="D41" s="17">
        <v>-0.36844940379214891</v>
      </c>
      <c r="E41" s="18">
        <v>0.4178217821782178</v>
      </c>
      <c r="F41" s="26">
        <v>2.1699999999999608E-2</v>
      </c>
      <c r="G41" s="17">
        <v>-0.23766149483275725</v>
      </c>
      <c r="H41" s="18">
        <v>0.4178217821782178</v>
      </c>
      <c r="I41" s="26">
        <v>2.2800000000001042E-2</v>
      </c>
      <c r="J41" s="17">
        <v>-0.15604650670300768</v>
      </c>
      <c r="K41" s="18">
        <v>0.4178217821782178</v>
      </c>
      <c r="M41" s="21" t="s">
        <v>9</v>
      </c>
      <c r="N41" s="25">
        <v>7.5869994718836153E-2</v>
      </c>
      <c r="O41" s="2">
        <v>0.8872487280625021</v>
      </c>
      <c r="P41" s="16">
        <v>0.68712871287128718</v>
      </c>
      <c r="Q41" s="25">
        <v>3.9631740500492674E-2</v>
      </c>
      <c r="R41" s="2">
        <v>0.10822174492449316</v>
      </c>
      <c r="S41" s="16">
        <v>0.68712871287128718</v>
      </c>
      <c r="T41" s="25">
        <v>1.4199749007448359E-2</v>
      </c>
      <c r="U41" s="2">
        <v>-0.34894469161953212</v>
      </c>
      <c r="V41" s="16">
        <v>0.68712871287128718</v>
      </c>
    </row>
    <row r="42" spans="2:22" s="9" customFormat="1" ht="15" thickTop="1" x14ac:dyDescent="0.35">
      <c r="M42" s="21" t="s">
        <v>10</v>
      </c>
      <c r="N42" s="25">
        <v>9.6202220361798707E-2</v>
      </c>
      <c r="O42" s="2">
        <v>1.0825816087269653</v>
      </c>
      <c r="P42" s="16">
        <v>0.72079207920792077</v>
      </c>
      <c r="Q42" s="25">
        <v>4.8634820154944025E-2</v>
      </c>
      <c r="R42" s="2">
        <v>0.24612199343654173</v>
      </c>
      <c r="S42" s="16">
        <v>0.72079207920792077</v>
      </c>
      <c r="T42" s="25">
        <v>1.4224508774858036E-2</v>
      </c>
      <c r="U42" s="2">
        <v>-0.25430920307327859</v>
      </c>
      <c r="V42" s="16">
        <v>0.72079207920792077</v>
      </c>
    </row>
    <row r="43" spans="2:22" s="9" customFormat="1" x14ac:dyDescent="0.35">
      <c r="M43" s="21" t="s">
        <v>11</v>
      </c>
      <c r="N43" s="25">
        <v>0.13592795430091043</v>
      </c>
      <c r="O43" s="2">
        <v>1.5849933971050236</v>
      </c>
      <c r="P43" s="16">
        <v>0.81980198019801975</v>
      </c>
      <c r="Q43" s="25">
        <v>6.0894660600098405E-2</v>
      </c>
      <c r="R43" s="2">
        <v>0.44786537541311161</v>
      </c>
      <c r="S43" s="16">
        <v>0.81980198019801975</v>
      </c>
      <c r="T43" s="25">
        <v>2.0038655158632457E-2</v>
      </c>
      <c r="U43" s="2">
        <v>-9.6688231221613283E-2</v>
      </c>
      <c r="V43" s="16">
        <v>0.81980198019801975</v>
      </c>
    </row>
    <row r="44" spans="2:22" s="9" customFormat="1" ht="15" thickBot="1" x14ac:dyDescent="0.4">
      <c r="M44" s="22" t="s">
        <v>12</v>
      </c>
      <c r="N44" s="26">
        <v>0.16546188397029393</v>
      </c>
      <c r="O44" s="17">
        <v>2.1551365098008235</v>
      </c>
      <c r="P44" s="18">
        <v>0.88514851485148516</v>
      </c>
      <c r="Q44" s="26">
        <v>5.3567102803738553E-2</v>
      </c>
      <c r="R44" s="17">
        <v>0.50150151059574544</v>
      </c>
      <c r="S44" s="18">
        <v>0.88514851485148516</v>
      </c>
      <c r="T44" s="26">
        <v>6.4686728137517413E-3</v>
      </c>
      <c r="U44" s="17">
        <v>-0.11324712880729189</v>
      </c>
      <c r="V44" s="18">
        <v>0.88514851485148516</v>
      </c>
    </row>
    <row r="45" spans="2:22" s="9" customFormat="1" ht="15" thickTop="1" x14ac:dyDescent="0.35">
      <c r="M45" s="11"/>
      <c r="N45" s="1"/>
      <c r="O45" s="2"/>
      <c r="P45" s="3"/>
      <c r="Q45" s="1"/>
      <c r="R45" s="2"/>
      <c r="S45" s="3"/>
      <c r="T45" s="1"/>
      <c r="U45" s="2"/>
      <c r="V45" s="3"/>
    </row>
    <row r="46" spans="2:22" s="9" customFormat="1" x14ac:dyDescent="0.35"/>
    <row r="47" spans="2:22" s="9" customFormat="1" x14ac:dyDescent="0.35">
      <c r="B47" s="11"/>
      <c r="C47" s="11"/>
      <c r="D47" s="11"/>
      <c r="E47" s="11"/>
      <c r="F47" s="11"/>
      <c r="G47" s="11"/>
      <c r="H47" s="11"/>
      <c r="I47" s="11"/>
      <c r="J47" s="11"/>
      <c r="K47" s="11"/>
    </row>
    <row r="48" spans="2:22" s="9" customFormat="1" x14ac:dyDescent="0.35">
      <c r="B48" s="11"/>
      <c r="C48" s="11"/>
      <c r="D48" s="11"/>
      <c r="E48" s="11"/>
      <c r="F48" s="11"/>
      <c r="G48" s="11"/>
      <c r="H48" s="11"/>
      <c r="I48" s="11"/>
      <c r="J48" s="11"/>
      <c r="K48" s="11"/>
    </row>
    <row r="49" spans="2:22" s="9" customFormat="1" ht="15" thickBot="1" x14ac:dyDescent="0.4">
      <c r="B49" s="11"/>
      <c r="C49" s="11"/>
      <c r="D49" s="11"/>
      <c r="E49" s="11"/>
      <c r="F49" s="11"/>
      <c r="G49" s="11"/>
      <c r="H49" s="11"/>
      <c r="I49" s="11"/>
      <c r="J49" s="11"/>
      <c r="K49" s="11"/>
      <c r="M49" s="12" t="s">
        <v>36</v>
      </c>
    </row>
    <row r="50" spans="2:22" s="9" customFormat="1" ht="15.5" thickTop="1" thickBot="1" x14ac:dyDescent="0.4">
      <c r="B50" s="11"/>
      <c r="C50" s="11"/>
      <c r="D50" s="11"/>
      <c r="E50" s="11"/>
      <c r="F50" s="11"/>
      <c r="G50" s="11"/>
      <c r="H50" s="11"/>
      <c r="I50" s="11"/>
      <c r="J50" s="11"/>
      <c r="K50" s="11"/>
      <c r="M50" s="23"/>
      <c r="N50" s="27" t="s">
        <v>28</v>
      </c>
      <c r="O50" s="19"/>
      <c r="P50" s="20"/>
      <c r="Q50" s="28" t="s">
        <v>13</v>
      </c>
      <c r="R50" s="19"/>
      <c r="S50" s="20"/>
      <c r="T50" s="29" t="s">
        <v>14</v>
      </c>
      <c r="U50" s="19"/>
      <c r="V50" s="20"/>
    </row>
    <row r="51" spans="2:22" s="9" customFormat="1" ht="15.5" thickTop="1" thickBot="1" x14ac:dyDescent="0.4">
      <c r="B51" s="11"/>
      <c r="C51" s="11"/>
      <c r="D51" s="11"/>
      <c r="E51" s="11"/>
      <c r="F51" s="11"/>
      <c r="G51" s="11"/>
      <c r="H51" s="11"/>
      <c r="I51" s="11"/>
      <c r="J51" s="11"/>
      <c r="K51" s="11"/>
      <c r="M51" s="22"/>
      <c r="N51" s="24" t="s">
        <v>17</v>
      </c>
      <c r="O51" s="14" t="s">
        <v>18</v>
      </c>
      <c r="P51" s="15" t="s">
        <v>19</v>
      </c>
      <c r="Q51" s="24" t="s">
        <v>17</v>
      </c>
      <c r="R51" s="14" t="s">
        <v>18</v>
      </c>
      <c r="S51" s="15" t="s">
        <v>19</v>
      </c>
      <c r="T51" s="24" t="s">
        <v>17</v>
      </c>
      <c r="U51" s="14" t="s">
        <v>18</v>
      </c>
      <c r="V51" s="15" t="s">
        <v>19</v>
      </c>
    </row>
    <row r="52" spans="2:22" s="9" customFormat="1" ht="15" thickTop="1" x14ac:dyDescent="0.35">
      <c r="B52" s="11"/>
      <c r="C52" s="11"/>
      <c r="D52" s="11"/>
      <c r="E52" s="11"/>
      <c r="F52" s="11"/>
      <c r="G52" s="11"/>
      <c r="H52" s="11"/>
      <c r="I52" s="11"/>
      <c r="J52" s="11"/>
      <c r="K52" s="11"/>
      <c r="M52" s="21" t="s">
        <v>8</v>
      </c>
      <c r="N52" s="25">
        <v>6.5700000000000092E-2</v>
      </c>
      <c r="O52" s="2">
        <v>-1.1887866763919896</v>
      </c>
      <c r="P52" s="16">
        <v>0.23960396039603959</v>
      </c>
      <c r="Q52" s="25">
        <v>7.2799999999999976E-2</v>
      </c>
      <c r="R52" s="2">
        <v>-0.96465282644709816</v>
      </c>
      <c r="S52" s="16">
        <v>0.23960396039603959</v>
      </c>
      <c r="T52" s="25">
        <v>5.2200000000000024E-2</v>
      </c>
      <c r="U52" s="2">
        <v>-1.6097534758899652</v>
      </c>
      <c r="V52" s="16">
        <v>0.23960396039603959</v>
      </c>
    </row>
    <row r="53" spans="2:22" s="9" customFormat="1" x14ac:dyDescent="0.35">
      <c r="B53" s="11"/>
      <c r="C53" s="11"/>
      <c r="D53" s="11"/>
      <c r="E53" s="11"/>
      <c r="F53" s="11"/>
      <c r="G53" s="11"/>
      <c r="H53" s="11"/>
      <c r="I53" s="11"/>
      <c r="J53" s="11"/>
      <c r="K53" s="11"/>
      <c r="M53" s="21" t="s">
        <v>0</v>
      </c>
      <c r="N53" s="25">
        <v>6.427548749209433E-2</v>
      </c>
      <c r="O53" s="2">
        <v>-0.58866548722373513</v>
      </c>
      <c r="P53" s="16">
        <v>0.3801980198019802</v>
      </c>
      <c r="Q53" s="25">
        <v>5.3881366910266459E-2</v>
      </c>
      <c r="R53" s="2">
        <v>-0.86059210583870283</v>
      </c>
      <c r="S53" s="16">
        <v>0.3801980198019802</v>
      </c>
      <c r="T53" s="25">
        <v>4.815355632070828E-2</v>
      </c>
      <c r="U53" s="2">
        <v>-1.0087323036488396</v>
      </c>
      <c r="V53" s="16">
        <v>0.3801980198019802</v>
      </c>
    </row>
    <row r="54" spans="2:22" s="9" customFormat="1" x14ac:dyDescent="0.35">
      <c r="M54" s="21" t="s">
        <v>9</v>
      </c>
      <c r="N54" s="25">
        <v>0.1030000258568442</v>
      </c>
      <c r="O54" s="2">
        <v>0.58011499044201265</v>
      </c>
      <c r="P54" s="16">
        <v>0.6</v>
      </c>
      <c r="Q54" s="25">
        <v>6.8848491420578695E-2</v>
      </c>
      <c r="R54" s="2">
        <v>-0.16056454029965753</v>
      </c>
      <c r="S54" s="16">
        <v>0.6</v>
      </c>
      <c r="T54" s="25">
        <v>4.6328492683226585E-2</v>
      </c>
      <c r="U54" s="2">
        <v>-0.56295798700964683</v>
      </c>
      <c r="V54" s="16">
        <v>0.6</v>
      </c>
    </row>
    <row r="55" spans="2:22" s="9" customFormat="1" x14ac:dyDescent="0.35">
      <c r="M55" s="21" t="s">
        <v>10</v>
      </c>
      <c r="N55" s="25">
        <v>0.11680412704878429</v>
      </c>
      <c r="O55" s="2">
        <v>0.83592626711257556</v>
      </c>
      <c r="P55" s="16">
        <v>0.63366336633663367</v>
      </c>
      <c r="Q55" s="25">
        <v>7.1565690339312482E-2</v>
      </c>
      <c r="R55" s="2">
        <v>1.1135520318525749E-2</v>
      </c>
      <c r="S55" s="16">
        <v>0.63366336633663367</v>
      </c>
      <c r="T55" s="25">
        <v>4.0995195216428693E-2</v>
      </c>
      <c r="U55" s="2">
        <v>-0.39825993098552714</v>
      </c>
      <c r="V55" s="16">
        <v>0.63366336633663367</v>
      </c>
    </row>
    <row r="56" spans="2:22" s="9" customFormat="1" x14ac:dyDescent="0.35">
      <c r="M56" s="21" t="s">
        <v>11</v>
      </c>
      <c r="N56" s="25">
        <v>0.15453321945708343</v>
      </c>
      <c r="O56" s="2">
        <v>1.5147116088121557</v>
      </c>
      <c r="P56" s="16">
        <v>0.79801980198019806</v>
      </c>
      <c r="Q56" s="25">
        <v>8.0264733998401283E-2</v>
      </c>
      <c r="R56" s="2">
        <v>0.34678357448851332</v>
      </c>
      <c r="S56" s="16">
        <v>0.79801980198019806</v>
      </c>
      <c r="T56" s="25">
        <v>3.9969198536645489E-2</v>
      </c>
      <c r="U56" s="2">
        <v>-0.17574638739435708</v>
      </c>
      <c r="V56" s="16">
        <v>0.79801980198019806</v>
      </c>
    </row>
    <row r="57" spans="2:22" s="9" customFormat="1" ht="15" thickBot="1" x14ac:dyDescent="0.4">
      <c r="M57" s="22" t="s">
        <v>12</v>
      </c>
      <c r="N57" s="26">
        <v>0.17715575454773091</v>
      </c>
      <c r="O57" s="17">
        <v>2.1015427026570266</v>
      </c>
      <c r="P57" s="18">
        <v>0.88118811881188119</v>
      </c>
      <c r="Q57" s="26">
        <v>6.728710176068109E-2</v>
      </c>
      <c r="R57" s="17">
        <v>0.45717194060955468</v>
      </c>
      <c r="S57" s="18">
        <v>0.88118811881188119</v>
      </c>
      <c r="T57" s="26">
        <v>2.2228919392523139E-2</v>
      </c>
      <c r="U57" s="17">
        <v>-0.12827014631701036</v>
      </c>
      <c r="V57" s="18">
        <v>0.88118811881188119</v>
      </c>
    </row>
    <row r="58" spans="2:22" s="9" customFormat="1" ht="15" thickTop="1" x14ac:dyDescent="0.35">
      <c r="M58" s="11"/>
      <c r="N58" s="1"/>
      <c r="O58" s="2"/>
      <c r="P58" s="3"/>
      <c r="Q58" s="1"/>
      <c r="R58" s="2"/>
      <c r="S58" s="3"/>
      <c r="T58" s="1"/>
      <c r="U58" s="2"/>
      <c r="V58" s="3"/>
    </row>
    <row r="59" spans="2:22" s="9" customFormat="1" x14ac:dyDescent="0.35"/>
    <row r="60" spans="2:22" s="9" customFormat="1" x14ac:dyDescent="0.35"/>
    <row r="61" spans="2:22" s="9" customFormat="1" x14ac:dyDescent="0.35"/>
  </sheetData>
  <mergeCells count="18">
    <mergeCell ref="N24:P24"/>
    <mergeCell ref="Q24:S24"/>
    <mergeCell ref="T24:V24"/>
    <mergeCell ref="N11:P11"/>
    <mergeCell ref="Q11:S11"/>
    <mergeCell ref="T11:V11"/>
    <mergeCell ref="N37:P37"/>
    <mergeCell ref="Q37:S37"/>
    <mergeCell ref="T37:V37"/>
    <mergeCell ref="N50:P50"/>
    <mergeCell ref="Q50:S50"/>
    <mergeCell ref="T50:V50"/>
    <mergeCell ref="C24:E24"/>
    <mergeCell ref="F24:H24"/>
    <mergeCell ref="I24:K24"/>
    <mergeCell ref="C35:E35"/>
    <mergeCell ref="F35:H35"/>
    <mergeCell ref="I35:K35"/>
  </mergeCells>
  <dataValidations count="2">
    <dataValidation type="list" allowBlank="1" showInputMessage="1" showErrorMessage="1" sqref="B2">
      <formula1>"ALL, 1y,2y,3y,4y,5y,10y"</formula1>
    </dataValidation>
    <dataValidation type="list" allowBlank="1" showInputMessage="1" showErrorMessage="1" sqref="B1">
      <formula1>"US,KRW,CHN, EUR"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57150</xdr:colOff>
                    <xdr:row>5</xdr:row>
                    <xdr:rowOff>19050</xdr:rowOff>
                  </from>
                  <to>
                    <xdr:col>0</xdr:col>
                    <xdr:colOff>1231900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7"/>
  <sheetViews>
    <sheetView workbookViewId="0">
      <selection activeCell="J11" sqref="J11"/>
    </sheetView>
  </sheetViews>
  <sheetFormatPr defaultRowHeight="14.5" x14ac:dyDescent="0.35"/>
  <sheetData>
    <row r="6" spans="5:6" ht="23.5" x14ac:dyDescent="0.55000000000000004">
      <c r="E6" s="5" t="s">
        <v>5</v>
      </c>
      <c r="F6" t="s">
        <v>6</v>
      </c>
    </row>
    <row r="7" spans="5:6" ht="23.5" x14ac:dyDescent="0.55000000000000004">
      <c r="E7" s="5" t="s">
        <v>1</v>
      </c>
      <c r="F7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8" sqref="F8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Results</vt:lpstr>
      <vt:lpstr>FilePath</vt:lpstr>
      <vt:lpstr>TickersSummary</vt:lpstr>
      <vt:lpstr>Carry</vt:lpstr>
      <vt:lpstr>Flys</vt:lpstr>
      <vt:lpstr>RD</vt:lpstr>
      <vt:lpstr>Results!SpotLvl</vt:lpstr>
      <vt:lpstr>Spreads</vt:lpstr>
      <vt:lpstr>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2017-09-13T10:14:38Z</dcterms:modified>
</cp:coreProperties>
</file>