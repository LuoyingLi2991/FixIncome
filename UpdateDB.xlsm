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P:\Interest Rate Model\"/>
    </mc:Choice>
  </mc:AlternateContent>
  <bookViews>
    <workbookView xWindow="0" yWindow="0" windowWidth="17256" windowHeight="5820"/>
  </bookViews>
  <sheets>
    <sheet name="Countries" sheetId="3" r:id="rId1"/>
    <sheet name="TickersSummary" sheetId="1" r:id="rId2"/>
    <sheet name="FileDirectory" sheetId="2" r:id="rId3"/>
  </sheets>
  <functionGroups builtInGroupCount="18">
    <functionGroup name="Bloomberg"/>
  </functionGroups>
  <definedNames>
    <definedName name="AUs">TickersSummary!$B$78:$J$85</definedName>
    <definedName name="CNs">TickersSummary!$B$45:$J$53</definedName>
    <definedName name="INs">TickersSummary!$B$66:$J$74</definedName>
    <definedName name="KRWs">TickersSummary!$B$2:$J$9</definedName>
    <definedName name="MYs">TickersSummary!$B$35:$J$42</definedName>
    <definedName name="SGs">TickersSummary!$B$23:$J$31</definedName>
    <definedName name="TWs">TickersSummary!$B$57:$J$62</definedName>
    <definedName name="USs">TickersSummary!$B$13:$J$20</definedName>
  </definedNames>
  <calcPr calcId="171027" concurrentCalc="0"/>
  <extLst>
    <ext xmlns:x14="http://schemas.microsoft.com/office/spreadsheetml/2009/9/main" uri="{8193D73E-4604-4355-AFF4-8A2333D13BE4}">
      <x14:definedNames>
        <x14:definedName name="Repair_Compact_DB">
          <x14:argumentDescriptions count="1">
            <x14:argumentDescription index="0">Positional argument 1</x14:argumentDescription>
          </x14:argumentDescriptions>
        </x14:definedName>
        <x14:definedName name="updateDB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UpdateElement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3" l="1"/>
  <c r="J78" i="1"/>
  <c r="I78" i="1"/>
  <c r="H78" i="1"/>
  <c r="G78" i="1"/>
  <c r="F78" i="1"/>
  <c r="E78" i="1"/>
  <c r="D78" i="1"/>
  <c r="C78" i="1"/>
  <c r="J66" i="1"/>
  <c r="I66" i="1"/>
  <c r="H66" i="1"/>
  <c r="G66" i="1"/>
  <c r="F66" i="1"/>
  <c r="E66" i="1"/>
  <c r="D66" i="1"/>
  <c r="C66" i="1"/>
  <c r="J57" i="1"/>
  <c r="I57" i="1"/>
  <c r="H57" i="1"/>
  <c r="G57" i="1"/>
  <c r="F57" i="1"/>
  <c r="E57" i="1"/>
  <c r="D57" i="1"/>
  <c r="C57" i="1"/>
  <c r="J45" i="1"/>
  <c r="I45" i="1"/>
  <c r="H45" i="1"/>
  <c r="G45" i="1"/>
  <c r="F45" i="1"/>
  <c r="E45" i="1"/>
  <c r="D45" i="1"/>
  <c r="C45" i="1"/>
  <c r="J35" i="1"/>
  <c r="I35" i="1"/>
  <c r="H35" i="1"/>
  <c r="G35" i="1"/>
  <c r="F35" i="1"/>
  <c r="E35" i="1"/>
  <c r="D35" i="1"/>
  <c r="C35" i="1"/>
  <c r="J23" i="1"/>
  <c r="I23" i="1"/>
  <c r="H23" i="1"/>
  <c r="G23" i="1"/>
  <c r="F23" i="1"/>
  <c r="E23" i="1"/>
  <c r="D23" i="1"/>
  <c r="C23" i="1"/>
  <c r="J13" i="1"/>
  <c r="I13" i="1"/>
  <c r="H13" i="1"/>
  <c r="G13" i="1"/>
  <c r="F13" i="1"/>
  <c r="E13" i="1"/>
  <c r="D13" i="1"/>
  <c r="C13" i="1"/>
  <c r="J2" i="1"/>
  <c r="I2" i="1"/>
  <c r="H2" i="1"/>
  <c r="G2" i="1"/>
  <c r="F2" i="1"/>
  <c r="E2" i="1"/>
  <c r="D2" i="1"/>
  <c r="C2" i="1"/>
</calcChain>
</file>

<file path=xl/sharedStrings.xml><?xml version="1.0" encoding="utf-8"?>
<sst xmlns="http://schemas.openxmlformats.org/spreadsheetml/2006/main" count="533" uniqueCount="476">
  <si>
    <t>StartD</t>
  </si>
  <si>
    <t>KRW</t>
  </si>
  <si>
    <t>3m</t>
  </si>
  <si>
    <t>KWSWC CMPN Curncy</t>
  </si>
  <si>
    <t>S0205FS 3M3M BLC Curncy</t>
  </si>
  <si>
    <t>S0205FS 6M3M BLC Curncy</t>
  </si>
  <si>
    <t>S0205FS 1Y3M BLC Curncy</t>
  </si>
  <si>
    <t>S0205FS 2Y3M BLC Curncy</t>
  </si>
  <si>
    <t>S0205FS 3Y3M BLC Curncy</t>
  </si>
  <si>
    <t>S0205FS 4Y3M BLC Curncy</t>
  </si>
  <si>
    <t>S0205FS 5Y3M BLC Curncy</t>
  </si>
  <si>
    <t>1y</t>
  </si>
  <si>
    <t>KWSWNI1 CMPN Curncy</t>
  </si>
  <si>
    <t>S0205FS 3M1Y BLC Curncy</t>
  </si>
  <si>
    <t>S0205FS 6M1Y BLC Curncy</t>
  </si>
  <si>
    <t>S0205FS 1Y1Y BLC Curncy</t>
  </si>
  <si>
    <t>S0205FS 2Y1Y BLC Curncy</t>
  </si>
  <si>
    <t>S0205FS 3Y1Y BLC Curncy</t>
  </si>
  <si>
    <t>S0205FS 4Y1Y BLC Curncy</t>
  </si>
  <si>
    <t>S0205FS 5Y1Y BLC Curncy</t>
  </si>
  <si>
    <t>2y</t>
  </si>
  <si>
    <t>KWSWNI2 CMPN Curncy</t>
  </si>
  <si>
    <t>S0205FS 3M2Y BLC Curncy</t>
  </si>
  <si>
    <t>S0205FS 6M2Y BLC Curncy</t>
  </si>
  <si>
    <t>S0205FS 1Y2Y BLC Curncy</t>
  </si>
  <si>
    <t>S0205FS 2Y2Y BLC Curncy</t>
  </si>
  <si>
    <t>S0205FS 3Y2Y BLC Curncy</t>
  </si>
  <si>
    <t>S0205FS 4Y2Y BLC Curncy</t>
  </si>
  <si>
    <t>S0205FS 5Y2Y BLC Curncy</t>
  </si>
  <si>
    <t>3y</t>
  </si>
  <si>
    <t>KWSWNI3 CMPN Curncy</t>
  </si>
  <si>
    <t>S0205FS 3M3Y BLC Curncy</t>
  </si>
  <si>
    <t>S0205FS 6M3Y BLC Curncy</t>
  </si>
  <si>
    <t>S0205FS 1Y3Y BLC Curncy</t>
  </si>
  <si>
    <t>S0205FS 2Y3Y BLC Curncy</t>
  </si>
  <si>
    <t>S0205FS 3Y3Y BLC Curncy</t>
  </si>
  <si>
    <t>S0205FS 4Y3Y BLC Curncy</t>
  </si>
  <si>
    <t>S0205FS 5Y3Y BLC Curncy</t>
  </si>
  <si>
    <t>4y</t>
  </si>
  <si>
    <t>KWSWNI4 CMPN Curncy</t>
  </si>
  <si>
    <t>S0205FS 3M4Y BLC Curncy</t>
  </si>
  <si>
    <t>S0205FS 6M4Y BLC Curncy</t>
  </si>
  <si>
    <t>S0205FS 1Y4Y BLC Curncy</t>
  </si>
  <si>
    <t>S0205FS 2Y4Y BLC Curncy</t>
  </si>
  <si>
    <t>S0205FS 3Y4Y BLC Curncy</t>
  </si>
  <si>
    <t>S0205FS 4Y4Y BLC Curncy</t>
  </si>
  <si>
    <t>S0205FS 5Y4Y BLC Curncy</t>
  </si>
  <si>
    <t>5y</t>
  </si>
  <si>
    <t>KWSWNI5 CMPN Curncy</t>
  </si>
  <si>
    <t>S0205FS 3M5Y BLC Curncy</t>
  </si>
  <si>
    <t>S0205FS 6M5Y BLC Curncy</t>
  </si>
  <si>
    <t>S0205FS 1Y5Y BLC Curncy</t>
  </si>
  <si>
    <t>S0205FS 2Y5Y BLC Curncy</t>
  </si>
  <si>
    <t>S0205FS 3Y5Y BLC Curncy</t>
  </si>
  <si>
    <t>S0205FS 4Y5Y BLC Curncy</t>
  </si>
  <si>
    <t>S0205FS 5Y5Y BLC Curncy</t>
  </si>
  <si>
    <t>10y</t>
  </si>
  <si>
    <t>KWSWNI10 CMPN Curncy</t>
  </si>
  <si>
    <t>S0205FS 3M10Y BLC Curncy</t>
  </si>
  <si>
    <t>S0205FS 6M10Y BLC Curncy</t>
  </si>
  <si>
    <t>S0205FS 1Y10Y BLC Curncy</t>
  </si>
  <si>
    <t>S0205FS 2Y10Y BLC Curncy</t>
  </si>
  <si>
    <t>S0205FS 3Y10Y BLC Curncy</t>
  </si>
  <si>
    <t>S0205FS 4Y10Y BLC Curncy</t>
  </si>
  <si>
    <t>S0205FS 5Y10Y BLC Curncy</t>
  </si>
  <si>
    <t>US</t>
  </si>
  <si>
    <t>USSWC CMPN Curncy</t>
  </si>
  <si>
    <t>USFS0CC  BLC Curncy</t>
  </si>
  <si>
    <t>USFS0FC  BLC Curncy</t>
  </si>
  <si>
    <t>USFS01C  BLC Curncy</t>
  </si>
  <si>
    <t>USFS02C  BLC Curncy</t>
  </si>
  <si>
    <t>USFS03C  BLC Curncy</t>
  </si>
  <si>
    <t>USFS04C  BLC Curncy</t>
  </si>
  <si>
    <t>USFS05C  BLC Curncy</t>
  </si>
  <si>
    <t>6m</t>
  </si>
  <si>
    <t>USSWF CMPN Curncy</t>
  </si>
  <si>
    <t>USFS0CF  BLC Curncy</t>
  </si>
  <si>
    <t>USFS0FF  BLC Curncy</t>
  </si>
  <si>
    <t>USFS01F  BLC Curncy</t>
  </si>
  <si>
    <t>USFS02F  BLC Curncy</t>
  </si>
  <si>
    <t>USFS03F  BLC Curncy</t>
  </si>
  <si>
    <t>USFS04F  BLC Curncy</t>
  </si>
  <si>
    <t>USFS05F  BLC Curncy</t>
  </si>
  <si>
    <t>USSWAP1 CMPN Curncy</t>
  </si>
  <si>
    <t>USFS0C1  BLC Curncy</t>
  </si>
  <si>
    <t>USFS0F1  BLC Curncy</t>
  </si>
  <si>
    <t>USFS011  BLC Curncy</t>
  </si>
  <si>
    <t>USFS021  BLC Curncy</t>
  </si>
  <si>
    <t>USFS031  BLC Curncy</t>
  </si>
  <si>
    <t>USFS041  BLC Curncy</t>
  </si>
  <si>
    <t>USFS051  BLC Curncy</t>
  </si>
  <si>
    <t>USSWAP2  CMPN Curncy</t>
  </si>
  <si>
    <t>USFS0C2  BLC Curncy</t>
  </si>
  <si>
    <t>USFS0F2  BLC Curncy</t>
  </si>
  <si>
    <t>USFS012  BLC Curncy</t>
  </si>
  <si>
    <t>USFS022  BLC Curncy</t>
  </si>
  <si>
    <t>USFS032  BLC Curncy</t>
  </si>
  <si>
    <t>USFS042  BLC Curncy</t>
  </si>
  <si>
    <t>USFS052  BLC Curncy</t>
  </si>
  <si>
    <t>USSWAP3  CMPN Curncy</t>
  </si>
  <si>
    <t>USFS0C3  BLC Curncy</t>
  </si>
  <si>
    <t>USFS0F3  BLC Curncy</t>
  </si>
  <si>
    <t>USFS013  BLC Curncy</t>
  </si>
  <si>
    <t>USFS023  BLC Curncy</t>
  </si>
  <si>
    <t>USFS033  BLC Curncy</t>
  </si>
  <si>
    <t>USFS043  BLC Curncy</t>
  </si>
  <si>
    <t>USFS053  BLC Curncy</t>
  </si>
  <si>
    <t>USSWAP5  CMPN Curncy</t>
  </si>
  <si>
    <t>USFS0C5  BLC Curncy</t>
  </si>
  <si>
    <t>USFS0F5  BLC Curncy</t>
  </si>
  <si>
    <t>USFS015  BLC Curncy</t>
  </si>
  <si>
    <t>USFS025  BLC Curncy</t>
  </si>
  <si>
    <t>USFS035  BLC Curncy</t>
  </si>
  <si>
    <t>USFS045  BLC Curncy</t>
  </si>
  <si>
    <t>USFS055  BLC Curncy</t>
  </si>
  <si>
    <t>USSWAP10 CMPN Curncy</t>
  </si>
  <si>
    <t>USFS0C10 BLC Curncy</t>
  </si>
  <si>
    <t>USFS0F10 BLC Curncy</t>
  </si>
  <si>
    <t>USFS0110 BLC Curncy</t>
  </si>
  <si>
    <t>USFS0210 BLC Curncy</t>
  </si>
  <si>
    <t>USFS0310 BLC Curncy</t>
  </si>
  <si>
    <t>USFS0410 BLC Curncy</t>
  </si>
  <si>
    <t>USFS0510 BLC Curncy</t>
  </si>
  <si>
    <t>SG</t>
  </si>
  <si>
    <t>SDSWC CMPN Curncy</t>
  </si>
  <si>
    <t>SDFS0C0C BLC Curncy</t>
  </si>
  <si>
    <t>SDFS0F0C BLC Curncy</t>
  </si>
  <si>
    <t>SDFS010C BLC Curncy</t>
  </si>
  <si>
    <t>SDFS020C BLC Curncy</t>
  </si>
  <si>
    <t>SDFS030C BLC Curncy</t>
  </si>
  <si>
    <t>SDFS040C BLC Curncy</t>
  </si>
  <si>
    <t>SDFS050C BLC Curncy</t>
  </si>
  <si>
    <t>SDSWF CMPN Curncy</t>
  </si>
  <si>
    <t>SDFS0C0F BLC Curncy</t>
  </si>
  <si>
    <t>SDFS0F0F BLC Curncy</t>
  </si>
  <si>
    <t>SDFS010F BLC Curncy</t>
  </si>
  <si>
    <t>SDFS020F BLC Curncy</t>
  </si>
  <si>
    <t>SDFS030F BLC Curncy</t>
  </si>
  <si>
    <t>SDFS040F BLC Curncy</t>
  </si>
  <si>
    <t>SDFS050F BLC Curncy</t>
  </si>
  <si>
    <t>SDSW1    CMPN Curncy</t>
  </si>
  <si>
    <t>SDFS0C01 BLC Curncy</t>
  </si>
  <si>
    <t>SDFS0F01 BLC Curncy</t>
  </si>
  <si>
    <t>SDFS0101 BLC Curncy</t>
  </si>
  <si>
    <t>SDFS0201 BLC Curncy</t>
  </si>
  <si>
    <t>SDFS0301 BLC Curncy</t>
  </si>
  <si>
    <t>SDFS0401 BLC Curncy</t>
  </si>
  <si>
    <t>SDFS0501 BLC Curncy</t>
  </si>
  <si>
    <t>SDSW2    CMPN Curncy</t>
  </si>
  <si>
    <t>SDFS0C02 BLC Curncy</t>
  </si>
  <si>
    <t>SDFS0F02 BLC Curncy</t>
  </si>
  <si>
    <t>SDFS0102 BLC Curncy</t>
  </si>
  <si>
    <t>SDFS0202 BLC Curncy</t>
  </si>
  <si>
    <t>SDFS0302 BLC Curncy</t>
  </si>
  <si>
    <t>SDFS0402 BLC Curncy</t>
  </si>
  <si>
    <t>SDFS0502 BLC Curncy</t>
  </si>
  <si>
    <t>SDSW3    CMPN Curncy</t>
  </si>
  <si>
    <t>SDFS0C03 BLC Curncy</t>
  </si>
  <si>
    <t>SDFS0F03 BLC Curncy</t>
  </si>
  <si>
    <t>SDFS0103 BLC Curncy</t>
  </si>
  <si>
    <t>SDFS0203 BLC Curncy</t>
  </si>
  <si>
    <t>SDFS0303 BLC Curncy</t>
  </si>
  <si>
    <t>SDFS0403 BLC Curncy</t>
  </si>
  <si>
    <t>SDFS0503 BLC Curncy</t>
  </si>
  <si>
    <t>SDSW4    CMPN Curncy</t>
  </si>
  <si>
    <t>SDFS0C04 BLC Curncy</t>
  </si>
  <si>
    <t>SDFS0F04 BLC Curncy</t>
  </si>
  <si>
    <t>SDFS0104 BLC Curncy</t>
  </si>
  <si>
    <t>SDFS0204 BLC Curncy</t>
  </si>
  <si>
    <t>SDFS0304 BLC Curncy</t>
  </si>
  <si>
    <t>SDFS0404 BLC Curncy</t>
  </si>
  <si>
    <t>SDFS0504 BLC Curncy</t>
  </si>
  <si>
    <t>SDSW5    CMPN Curncy</t>
  </si>
  <si>
    <t>SDFS0C05 BLC Curncy</t>
  </si>
  <si>
    <t>SDFS0F05 BLC Curncy</t>
  </si>
  <si>
    <t>SDFS0105 BLC Curncy</t>
  </si>
  <si>
    <t>SDFS0205 BLC Curncy</t>
  </si>
  <si>
    <t>SDFS0305 BLC Curncy</t>
  </si>
  <si>
    <t>SDFS0405 BLC Curncy</t>
  </si>
  <si>
    <t>SDFS0505 BLC Curncy</t>
  </si>
  <si>
    <t>SDSW10   CMPN Curncy</t>
  </si>
  <si>
    <t>SDFS0C10 BLC Curncy</t>
  </si>
  <si>
    <t>SDFS0F10 BLC Curncy</t>
  </si>
  <si>
    <t>SDFS0110 BLC Curncy</t>
  </si>
  <si>
    <t>SDFS0210 BLC Curncy</t>
  </si>
  <si>
    <t>SDFS0310 BLC Curncy</t>
  </si>
  <si>
    <t>SDFS0410 BLC Curncy</t>
  </si>
  <si>
    <t>SDFS0510 BLC Curncy</t>
  </si>
  <si>
    <t>MY</t>
  </si>
  <si>
    <t>MRSWC CMPN Curncy</t>
  </si>
  <si>
    <t>S0209FS 3M3M BLC Curncy</t>
  </si>
  <si>
    <t>S0209FS 6M3M BLC Curncy</t>
  </si>
  <si>
    <t>S0209FS 1Y3M BLC Curncy</t>
  </si>
  <si>
    <t>S0209FS 2Y3M BLC Curncy</t>
  </si>
  <si>
    <t>S0209FS 3Y3M BLC Curncy</t>
  </si>
  <si>
    <t>S0209FS 4Y3M BLC Curncy</t>
  </si>
  <si>
    <t>S0209FS 5Y3M BLC Curncy</t>
  </si>
  <si>
    <t>MRSWNIF  CMPN Curncy</t>
  </si>
  <si>
    <t>S0209FS 3M6M BLC Curncy</t>
  </si>
  <si>
    <t>S0209FS 6M6M BLC Curncy</t>
  </si>
  <si>
    <t>S0209FS 1Y6M BLC Curncy</t>
  </si>
  <si>
    <t>S0209FS 2Y6M BLC Curncy</t>
  </si>
  <si>
    <t>S0209FS 3Y6M BLC Curncy</t>
  </si>
  <si>
    <t>S0209FS 4Y6M BLC Curncy</t>
  </si>
  <si>
    <t>S0209FS 5Y6M BLC Curncy</t>
  </si>
  <si>
    <t>MRSWNI1  CMPN Curncy</t>
  </si>
  <si>
    <t>S0209FS 3M1Y BLC Curncy</t>
  </si>
  <si>
    <t>S0209FS 6M1Y BLC Curncy</t>
  </si>
  <si>
    <t>S0209FS 1Y1Y BLC Curncy</t>
  </si>
  <si>
    <t>S0209FS 2Y1Y BLC Curncy</t>
  </si>
  <si>
    <t>S0209FS 3Y1Y BLC Curncy</t>
  </si>
  <si>
    <t>S0209FS 4Y1Y BLC Curncy</t>
  </si>
  <si>
    <t>S0209FS 5Y1Y BLC Curncy</t>
  </si>
  <si>
    <t>MRSWNI2  CMPN Curncy</t>
  </si>
  <si>
    <t>S0209FS 3M2Y BLC Curncy</t>
  </si>
  <si>
    <t>S0209FS 6M2Y BLC Curncy</t>
  </si>
  <si>
    <t>S0209FS 1Y2Y BLC Curncy</t>
  </si>
  <si>
    <t>S0209FS 2Y2Y BLC Curncy</t>
  </si>
  <si>
    <t>S0209FS 3Y2Y BLC Curncy</t>
  </si>
  <si>
    <t>S0209FS 4Y2Y BLC Curncy</t>
  </si>
  <si>
    <t>S0209FS 5Y2Y BLC Curncy</t>
  </si>
  <si>
    <t>MRSWNI3  CMPN Curncy</t>
  </si>
  <si>
    <t>S0209FS 3M3Y BLC Curncy</t>
  </si>
  <si>
    <t>S0209FS 6M3Y BLC Curncy</t>
  </si>
  <si>
    <t>S0209FS 1Y3Y BLC Curncy</t>
  </si>
  <si>
    <t>S0209FS 2Y3Y BLC Curncy</t>
  </si>
  <si>
    <t>S0209FS 3Y3Y BLC Curncy</t>
  </si>
  <si>
    <t>S0209FS 4Y3Y BLC Curncy</t>
  </si>
  <si>
    <t>S0209FS 5Y3Y BLC Curncy</t>
  </si>
  <si>
    <t>MRSWNI5  CMPN Curncy</t>
  </si>
  <si>
    <t>S0209FS 3M5Y BLC Curncy</t>
  </si>
  <si>
    <t>S0209FS 6M5Y BLC Curncy</t>
  </si>
  <si>
    <t>S0209FS 1Y5Y BLC Curncy</t>
  </si>
  <si>
    <t>S0209FS 2Y5Y BLC Curncy</t>
  </si>
  <si>
    <t>S0209FS 3Y5Y BLC Curncy</t>
  </si>
  <si>
    <t>S0209FS 4Y5Y BLC Curncy</t>
  </si>
  <si>
    <t>S0209FS 5Y5Y BLC Curncy</t>
  </si>
  <si>
    <t>MRSWNI10 CMPN Curncy</t>
  </si>
  <si>
    <t>S0209FS 3M10Y BLC Curncy</t>
  </si>
  <si>
    <t>S0209FS 6M10Y BLC Curncy</t>
  </si>
  <si>
    <t>S0209FS 1Y10Y BLC Curncy</t>
  </si>
  <si>
    <t>S0209FS 2Y10Y BLC Curncy</t>
  </si>
  <si>
    <t>S0209FS 3Y10Y BLC Curncy</t>
  </si>
  <si>
    <t>S0209FS 4Y10Y BLC Curncy</t>
  </si>
  <si>
    <t>S0209FS 5Y10Y BLC Curncy</t>
  </si>
  <si>
    <t>CN</t>
  </si>
  <si>
    <t>CCSWC CMPN Curncy</t>
  </si>
  <si>
    <t>S0204FS 3M3M BLC Curncy</t>
  </si>
  <si>
    <t>S0204FS 6M3M BLC Curncy</t>
  </si>
  <si>
    <t>S0204FS 1Y3M BLC Curncy</t>
  </si>
  <si>
    <t>S0204FS 2Y3M BLC Curncy</t>
  </si>
  <si>
    <t>S0204FS 3Y3M BLC Curncy</t>
  </si>
  <si>
    <t>S0204FS 4Y3M BLC Curncy</t>
  </si>
  <si>
    <t>S0204FS 5Y3M BLC Curncy</t>
  </si>
  <si>
    <t>CCSWF CMPN Curncy</t>
  </si>
  <si>
    <t>S0204FS 3M6M BLC Curncy</t>
  </si>
  <si>
    <t>S0204FS 6M6M BLC Curncy</t>
  </si>
  <si>
    <t>S0204FS 1Y6M BLC Curncy</t>
  </si>
  <si>
    <t>S0204FS 2Y6M BLC Curncy</t>
  </si>
  <si>
    <t>S0204FS 3Y6M BLC Curncy</t>
  </si>
  <si>
    <t>S0204FS 4Y6M BLC Curncy</t>
  </si>
  <si>
    <t>S0204FS 5Y6M BLC Curncy</t>
  </si>
  <si>
    <t>CCSWNI1  CMPN Curncy</t>
  </si>
  <si>
    <t>S0204FS 3M1Y BLC Curncy</t>
  </si>
  <si>
    <t>S0204FS 6M1Y BLC Curncy</t>
  </si>
  <si>
    <t>S0204FS 1Y1Y BLC Curncy</t>
  </si>
  <si>
    <t>S0204FS 2Y1Y BLC Curncy</t>
  </si>
  <si>
    <t>S0204FS 3Y1Y BLC Curncy</t>
  </si>
  <si>
    <t>S0204FS 4Y1Y BLC Curncy</t>
  </si>
  <si>
    <t>S0204FS 5Y1Y BLC Curncy</t>
  </si>
  <si>
    <t>CCSWNI2  CMPN Curncy</t>
  </si>
  <si>
    <t>S0204FS 3M2Y BLC Curncy</t>
  </si>
  <si>
    <t>S0204FS 6M2Y BLC Curncy</t>
  </si>
  <si>
    <t>S0204FS 1Y2Y BLC Curncy</t>
  </si>
  <si>
    <t>S0204FS 2Y2Y BLC Curncy</t>
  </si>
  <si>
    <t>S0204FS 3Y2Y BLC Curncy</t>
  </si>
  <si>
    <t>S0204FS 4Y2Y BLC Curncy</t>
  </si>
  <si>
    <t>S0204FS 5Y2Y BLC Curncy</t>
  </si>
  <si>
    <t>CCSWNI3  CMPN Curncy</t>
  </si>
  <si>
    <t>S0204FS 3M3Y BLC Curncy</t>
  </si>
  <si>
    <t>S0204FS 6M3Y BLC Curncy</t>
  </si>
  <si>
    <t>S0204FS 1Y3Y BLC Curncy</t>
  </si>
  <si>
    <t>S0204FS 2Y3Y BLC Curncy</t>
  </si>
  <si>
    <t>S0204FS 3Y3Y BLC Curncy</t>
  </si>
  <si>
    <t>S0204FS 4Y3Y BLC Curncy</t>
  </si>
  <si>
    <t>S0204FS 5Y3Y BLC Curncy</t>
  </si>
  <si>
    <t>CCSWNI4  CMPN Curncy</t>
  </si>
  <si>
    <t>S0204FS 3M4Y BLC Curncy</t>
  </si>
  <si>
    <t>S0204FS 6M4Y BLC Curncy</t>
  </si>
  <si>
    <t>S0204FS 1Y4Y BLC Curncy</t>
  </si>
  <si>
    <t>S0204FS 2Y4Y BLC Curncy</t>
  </si>
  <si>
    <t>S0204FS 3Y4Y BLC Curncy</t>
  </si>
  <si>
    <t>S0204FS 4Y4Y BLC Curncy</t>
  </si>
  <si>
    <t>S0204FS 5Y4Y BLC Curncy</t>
  </si>
  <si>
    <t>CCSWNI5  CMPN Curncy</t>
  </si>
  <si>
    <t>S0204FS 3M5Y BLC Curncy</t>
  </si>
  <si>
    <t>S0204FS 6M5Y BLC Curncy</t>
  </si>
  <si>
    <t>S0204FS 1Y5Y BLC Curncy</t>
  </si>
  <si>
    <t>S0204FS 2Y5Y BLC Curncy</t>
  </si>
  <si>
    <t>S0204FS 3Y5Y BLC Curncy</t>
  </si>
  <si>
    <t>S0204FS 4Y5Y BLC Curncy</t>
  </si>
  <si>
    <t>S0204FS 5Y5Y BLC Curncy</t>
  </si>
  <si>
    <t>CCSWNI10 CMPN Curncy</t>
  </si>
  <si>
    <t>S0204FS 3M10Y BLC Curncy</t>
  </si>
  <si>
    <t>S0204FS 6M10Y BLC Curncy</t>
  </si>
  <si>
    <t>S0204FS 1Y10Y BLC Curncy</t>
  </si>
  <si>
    <t>S0204FS 2Y10Y BLC Curncy</t>
  </si>
  <si>
    <t>S0204FS 3Y10Y BLC Curncy</t>
  </si>
  <si>
    <t>S0204FS 4Y10Y BLC Curncy</t>
  </si>
  <si>
    <t>S0204FS 5Y10Y BLC Curncy</t>
  </si>
  <si>
    <t>TW</t>
  </si>
  <si>
    <t>TRSWC CMPN Curncy</t>
  </si>
  <si>
    <t>S0203FS 3M3M BLC Curncy</t>
  </si>
  <si>
    <t>S0203FS 6M3M BLC Curncy</t>
  </si>
  <si>
    <t>S0203FS 1Y3M BLC Curncy</t>
  </si>
  <si>
    <t>S0203FS 2Y3M BLC Curncy</t>
  </si>
  <si>
    <t>S0203FS 3Y3M BLC Curncy</t>
  </si>
  <si>
    <t>S0203FS 4Y3M BLC Curncy</t>
  </si>
  <si>
    <t>S0203FS 5Y3M BLC Curncy</t>
  </si>
  <si>
    <t>TRSWF CMPN Curncy</t>
  </si>
  <si>
    <t>S0203FS 3M6M BLC Curncy</t>
  </si>
  <si>
    <t>S0203FS 6M6M BLC Curncy</t>
  </si>
  <si>
    <t>S0203FS 1Y6M BLC Curncy</t>
  </si>
  <si>
    <t>S0203FS 2Y6M BLC Curncy</t>
  </si>
  <si>
    <t>S0203FS 3Y6M BLC Curncy</t>
  </si>
  <si>
    <t>S0203FS 4Y6M BLC Curncy</t>
  </si>
  <si>
    <t>S0203FS 5Y6M BLC Curncy</t>
  </si>
  <si>
    <t>TDSWNI3  CMPN Curncy</t>
  </si>
  <si>
    <t>S0203FS 3M3Y BLC Curncy</t>
  </si>
  <si>
    <t>S0203FS 6M3Y BLC Curncy</t>
  </si>
  <si>
    <t>S0203FS 1Y3Y BLC Curncy</t>
  </si>
  <si>
    <t>S0203FS 2Y3Y BLC Curncy</t>
  </si>
  <si>
    <t>S0203FS 3Y3Y BLC Curncy</t>
  </si>
  <si>
    <t>S0203FS 4Y3Y BLC Curncy</t>
  </si>
  <si>
    <t>S0203FS 5Y3Y BLC Curncy</t>
  </si>
  <si>
    <t>TDSWNI5  CMPN Curncy</t>
  </si>
  <si>
    <t>S0203FS 3M5Y BLC Curncy</t>
  </si>
  <si>
    <t>S0203FS 6M5Y BLC Curncy</t>
  </si>
  <si>
    <t>S0203FS 1Y5Y BLC Curncy</t>
  </si>
  <si>
    <t>S0203FS 2Y5Y BLC Curncy</t>
  </si>
  <si>
    <t>S0203FS 3Y5Y BLC Curncy</t>
  </si>
  <si>
    <t>S0203FS 4Y5Y BLC Curncy</t>
  </si>
  <si>
    <t>S0203FS 5Y5Y BLC Curncy</t>
  </si>
  <si>
    <t>TDSWNI10 CMPN Curncy</t>
  </si>
  <si>
    <t>S0203FS 3M10Y BLC Curncy</t>
  </si>
  <si>
    <t>S0203FS 6M10Y BLC Curncy</t>
  </si>
  <si>
    <t>S0203FS 1Y10Y BLC Curncy</t>
  </si>
  <si>
    <t>S0203FS 2Y10Y BLC Curncy</t>
  </si>
  <si>
    <t>S0203FS 3Y10Y BLC Curncy</t>
  </si>
  <si>
    <t>S0203FS 4Y10Y BLC Curncy</t>
  </si>
  <si>
    <t>S0203FS 5Y10Y BLC Curncy</t>
  </si>
  <si>
    <t>IN</t>
  </si>
  <si>
    <t>IRSWNIC  CMPN Curncy</t>
  </si>
  <si>
    <t>S0266FS 3M3M BLC Curncy</t>
  </si>
  <si>
    <t>S0266FS 6M3M BLC Curncy</t>
  </si>
  <si>
    <t>S0266FS 1Y3M BLC Curncy</t>
  </si>
  <si>
    <t>S0266FS 2Y3M BLC Curncy</t>
  </si>
  <si>
    <t>S0266FS 3Y3M BLC Curncy</t>
  </si>
  <si>
    <t>S0266FS 4Y3M BLC Curncy</t>
  </si>
  <si>
    <t>S0266FS 5Y3M BLC Curncy</t>
  </si>
  <si>
    <t>IRSWNIF  CMPN Curncy</t>
  </si>
  <si>
    <t>S0266FS 3M6M BLC Curncy</t>
  </si>
  <si>
    <t>S0266FS 6M6M BLC Curncy</t>
  </si>
  <si>
    <t>S0266FS 1Y6M BLC Curncy</t>
  </si>
  <si>
    <t>S0266FS 2Y6M BLC Curncy</t>
  </si>
  <si>
    <t>S0266FS 3Y6M BLC Curncy</t>
  </si>
  <si>
    <t>S0266FS 4Y6M BLC Curncy</t>
  </si>
  <si>
    <t>S0266FS 5Y6M BLC Curncy</t>
  </si>
  <si>
    <t>IRSWNI1  CMPN Curncy</t>
  </si>
  <si>
    <t>S0266FS 3M1Y BLC Curncy</t>
  </si>
  <si>
    <t>S0266FS 6M1Y BLC Curncy</t>
  </si>
  <si>
    <t>S0266FS 1Y1Y BLC Curncy</t>
  </si>
  <si>
    <t>S0266FS 2Y1Y BLC Curncy</t>
  </si>
  <si>
    <t>S0266FS 3Y1Y BLC Curncy</t>
  </si>
  <si>
    <t>S0266FS 4Y1Y BLC Curncy</t>
  </si>
  <si>
    <t>S0266FS 5Y1Y BLC Curncy</t>
  </si>
  <si>
    <t>IRSWNI2  CMPN Curncy</t>
  </si>
  <si>
    <t>S0266FS 3M2Y BLC Curncy</t>
  </si>
  <si>
    <t>S0266FS 6M2Y BLC Curncy</t>
  </si>
  <si>
    <t>S0266FS 1Y2Y BLC Curncy</t>
  </si>
  <si>
    <t>S0266FS 2Y2Y BLC Curncy</t>
  </si>
  <si>
    <t>S0266FS 3Y2Y BLC Curncy</t>
  </si>
  <si>
    <t>S0266FS 4Y2Y BLC Curncy</t>
  </si>
  <si>
    <t>S0266FS 5Y2Y BLC Curncy</t>
  </si>
  <si>
    <t>IRSWNI3  CMPN Curncy</t>
  </si>
  <si>
    <t>S0266FS 3M3Y BLC Curncy</t>
  </si>
  <si>
    <t>S0266FS 6M3Y BLC Curncy</t>
  </si>
  <si>
    <t>S0266FS 1Y3Y BLC Curncy</t>
  </si>
  <si>
    <t>S0266FS 2Y3Y BLC Curncy</t>
  </si>
  <si>
    <t>S0266FS 3Y3Y BLC Curncy</t>
  </si>
  <si>
    <t>S0266FS 4Y3Y BLC Curncy</t>
  </si>
  <si>
    <t>S0266FS 5Y3Y BLC Curncy</t>
  </si>
  <si>
    <t>IRSWNI4  CMPN Curncy</t>
  </si>
  <si>
    <t>S0266FS 3M4Y BLC Curncy</t>
  </si>
  <si>
    <t>S0266FS 6M4Y BLC Curncy</t>
  </si>
  <si>
    <t>S0266FS 1Y4Y BLC Curncy</t>
  </si>
  <si>
    <t>S0266FS 2Y4Y BLC Curncy</t>
  </si>
  <si>
    <t>S0266FS 3Y4Y BLC Curncy</t>
  </si>
  <si>
    <t>S0266FS 4Y4Y BLC Curncy</t>
  </si>
  <si>
    <t>S0266FS 5Y4Y BLC Curncy</t>
  </si>
  <si>
    <t>IRSWNI5  CMPN Curncy</t>
  </si>
  <si>
    <t>S0266FS 3M5Y BLC Curncy</t>
  </si>
  <si>
    <t>S0266FS 6M5Y BLC Curncy</t>
  </si>
  <si>
    <t>S0266FS 1Y5Y BLC Curncy</t>
  </si>
  <si>
    <t>S0266FS 2Y5Y BLC Curncy</t>
  </si>
  <si>
    <t>S0266FS 3Y5Y BLC Curncy</t>
  </si>
  <si>
    <t>S0266FS 4Y5Y BLC Curncy</t>
  </si>
  <si>
    <t>S0266FS 5Y5Y BLC Curncy</t>
  </si>
  <si>
    <t>IRSWNI10 CMPN Curncy</t>
  </si>
  <si>
    <t>S0266FS 3M10Y BLC Curncy</t>
  </si>
  <si>
    <t>S0266FS 6M10Y BLC Curncy</t>
  </si>
  <si>
    <t>S0266FS 1Y10Y BLC Curncy</t>
  </si>
  <si>
    <t>S0266FS 2Y10Y BLC Curncy</t>
  </si>
  <si>
    <t>S0266FS 3Y10Y BLC Curncy</t>
  </si>
  <si>
    <t>S0266FS 4Y10Y BLC Curncy</t>
  </si>
  <si>
    <t>S0266FS 5Y10Y BLC Curncy</t>
  </si>
  <si>
    <t>AU</t>
  </si>
  <si>
    <t>ADSWC CMPN Curncy</t>
  </si>
  <si>
    <t>S0303FS 3M3M BLC Curncy</t>
  </si>
  <si>
    <t>S0303FS 6M3M BLC Curncy</t>
  </si>
  <si>
    <t>S0303FS 1Y3M BLC Curncy</t>
  </si>
  <si>
    <t>S0303FS 2Y3M BLC Curncy</t>
  </si>
  <si>
    <t>S0303FS 3Y3M BLC Curncy</t>
  </si>
  <si>
    <t>S0303FS 4Y3M BLC Curncy</t>
  </si>
  <si>
    <t>S0303FS 5Y3M BLC Curncy</t>
  </si>
  <si>
    <t>ADSWAP1Q CMPN Curncy</t>
  </si>
  <si>
    <t>S0303FS 3M1Y BLC Curncy</t>
  </si>
  <si>
    <t>S0303FS 6M1Y BLC Curncy</t>
  </si>
  <si>
    <t>S0303FS 1Y1Y BLC Curncy</t>
  </si>
  <si>
    <t>S0303FS 2Y1Y BLC Curncy</t>
  </si>
  <si>
    <t>S0303FS 3Y1Y BLC Curncy</t>
  </si>
  <si>
    <t>S0303FS 4Y1Y BLC Curncy</t>
  </si>
  <si>
    <t>S0303FS 5Y1Y BLC Curncy</t>
  </si>
  <si>
    <t>ADSWAP2Q CMPN Curncy</t>
  </si>
  <si>
    <t>S0303FS 3M2Y BLC Curncy</t>
  </si>
  <si>
    <t>S0303FS 6M2Y BLC Curncy</t>
  </si>
  <si>
    <t>S0303FS 1Y2Y BLC Curncy</t>
  </si>
  <si>
    <t>S0303FS 2Y2Y BLC Curncy</t>
  </si>
  <si>
    <t>S0303FS 3Y2Y BLC Curncy</t>
  </si>
  <si>
    <t>S0303FS 4Y2Y BLC Curncy</t>
  </si>
  <si>
    <t>S0303FS 5Y2Y BLC Curncy</t>
  </si>
  <si>
    <t>ADSWAP3Q CMPN Curncy</t>
  </si>
  <si>
    <t>S0303FS 3M3Y BLC Curncy</t>
  </si>
  <si>
    <t>S0303FS 6M3Y BLC Curncy</t>
  </si>
  <si>
    <t>S0303FS 1Y3Y BLC Curncy</t>
  </si>
  <si>
    <t>S0303FS 2Y3Y BLC Curncy</t>
  </si>
  <si>
    <t>S0303FS 3Y3Y BLC Curncy</t>
  </si>
  <si>
    <t>S0303FS 4Y3Y BLC Curncy</t>
  </si>
  <si>
    <t>S0303FS 5Y3Y BLC Curncy</t>
  </si>
  <si>
    <t>ADSWAP4  CMPN Curncy</t>
  </si>
  <si>
    <t>S0303FS 3M4Y BLC Curncy</t>
  </si>
  <si>
    <t>S0303FS 6M4Y BLC Curncy</t>
  </si>
  <si>
    <t>S0303FS 1Y4Y BLC Curncy</t>
  </si>
  <si>
    <t>S0303FS 2Y4Y BLC Curncy</t>
  </si>
  <si>
    <t>S0303FS 3Y4Y BLC Curncy</t>
  </si>
  <si>
    <t>S0303FS 4Y4Y BLC Curncy</t>
  </si>
  <si>
    <t>S0303FS 5Y4Y BLC Curncy</t>
  </si>
  <si>
    <t>ADSWAP5  CMPN Curncy</t>
  </si>
  <si>
    <t>S0303FS 3M5Y BLC Curncy</t>
  </si>
  <si>
    <t>S0303FS 6M5Y BLC Curncy</t>
  </si>
  <si>
    <t>S0303FS 1Y5Y BLC Curncy</t>
  </si>
  <si>
    <t>S0303FS 2Y5Y BLC Curncy</t>
  </si>
  <si>
    <t>S0303FS 3Y5Y BLC Curncy</t>
  </si>
  <si>
    <t>S0303FS 4Y5Y BLC Curncy</t>
  </si>
  <si>
    <t>S0303FS 5Y5Y BLC Curncy</t>
  </si>
  <si>
    <t>ADSWAP10 CMPN Curncy</t>
  </si>
  <si>
    <t>S0303FS 3M10Y BLC Curncy</t>
  </si>
  <si>
    <t>S0303FS 6M10Y BLC Curncy</t>
  </si>
  <si>
    <t>S0303FS 1Y10Y BLC Curncy</t>
  </si>
  <si>
    <t>S0303FS 2Y10Y BLC Curncy</t>
  </si>
  <si>
    <t>S0303FS 3Y10Y BLC Curncy</t>
  </si>
  <si>
    <t>S0303FS 4Y10Y BLC Curncy</t>
  </si>
  <si>
    <t>S0303FS 5Y10Y BLC Curncy</t>
  </si>
  <si>
    <t>CurrentFolder:</t>
  </si>
  <si>
    <t>Country:</t>
  </si>
  <si>
    <t>P:\\Interest Rate Model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</si>
</sst>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49" fontId="1" fillId="0" borderId="0" xfId="0" applyNumberFormat="1" applyFont="1"/>
    <xf numFmtId="0" fontId="1" fillId="0" borderId="0" xfId="0" applyFont="1" applyAlignment="1">
      <alignment vertical="center"/>
    </xf>
    <xf numFmtId="0" fontId="1" fillId="0" borderId="0" xfId="0" applyFont="1" applyFill="1" applyBorder="1"/>
    <xf numFmtId="0" fontId="0" fillId="0" borderId="0" xfId="0" applyAlignment="1">
      <alignment vertical="center"/>
    </xf>
    <xf numFmtId="0" fontId="0" fillId="0" borderId="0" xfId="0" quotePrefix="1" applyAlignment="1">
      <alignment vertical="center"/>
    </xf>
    <xf numFmtId="49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8"/>
  <sheetViews>
    <sheetView tabSelected="1" workbookViewId="0">
      <selection activeCell="I11" sqref="I11"/>
    </sheetView>
  </sheetViews>
  <sheetFormatPr defaultRowHeight="14.4" x14ac:dyDescent="0.3"/>
  <sheetData>
    <row r="1" spans="1:2" x14ac:dyDescent="0.3">
      <c r="A1" t="s">
        <v>474</v>
      </c>
      <c r="B1" s="7" t="s">
        <v>1</v>
      </c>
    </row>
    <row r="2" spans="1:2" x14ac:dyDescent="0.3">
      <c r="A2" s="8">
        <f>COUNTA(B:B)</f>
        <v>8</v>
      </c>
      <c r="B2" s="7" t="s">
        <v>65</v>
      </c>
    </row>
    <row r="3" spans="1:2" x14ac:dyDescent="0.3">
      <c r="B3" s="7" t="s">
        <v>310</v>
      </c>
    </row>
    <row r="4" spans="1:2" x14ac:dyDescent="0.3">
      <c r="B4" s="7" t="s">
        <v>123</v>
      </c>
    </row>
    <row r="5" spans="1:2" x14ac:dyDescent="0.3">
      <c r="B5" s="7" t="s">
        <v>188</v>
      </c>
    </row>
    <row r="6" spans="1:2" x14ac:dyDescent="0.3">
      <c r="B6" s="7" t="s">
        <v>416</v>
      </c>
    </row>
    <row r="7" spans="1:2" x14ac:dyDescent="0.3">
      <c r="B7" s="7" t="s">
        <v>351</v>
      </c>
    </row>
    <row r="8" spans="1:2" x14ac:dyDescent="0.3">
      <c r="B8" s="7" t="s">
        <v>245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85"/>
  <sheetViews>
    <sheetView workbookViewId="0">
      <selection activeCell="H10" sqref="H10"/>
    </sheetView>
  </sheetViews>
  <sheetFormatPr defaultColWidth="8.77734375" defaultRowHeight="14.4" x14ac:dyDescent="0.3"/>
  <cols>
    <col min="1" max="2" width="8.77734375" style="4"/>
    <col min="3" max="3" width="23.109375" style="4" customWidth="1"/>
    <col min="4" max="5" width="24.5546875" style="4" customWidth="1"/>
    <col min="6" max="10" width="23.77734375" style="4" customWidth="1"/>
    <col min="11" max="16384" width="8.77734375" style="4"/>
  </cols>
  <sheetData>
    <row r="1" spans="1:10" s="1" customFormat="1" x14ac:dyDescent="0.3">
      <c r="A1" s="1" t="s">
        <v>0</v>
      </c>
      <c r="B1" s="2">
        <v>20070101</v>
      </c>
    </row>
    <row r="2" spans="1:10" s="1" customFormat="1" x14ac:dyDescent="0.3">
      <c r="A2" s="1" t="s">
        <v>1</v>
      </c>
      <c r="C2" s="1" t="str">
        <f>A2&amp;"Spot"</f>
        <v>KRWSpot</v>
      </c>
      <c r="D2" s="1" t="str">
        <f>$A2&amp;"Fwd3m"</f>
        <v>KRWFwd3m</v>
      </c>
      <c r="E2" s="1" t="str">
        <f>$A2&amp;"Fwd6m"</f>
        <v>KRWFwd6m</v>
      </c>
      <c r="F2" s="1" t="str">
        <f>$A2&amp;"Fwd1y"</f>
        <v>KRWFwd1y</v>
      </c>
      <c r="G2" s="1" t="str">
        <f>$A2&amp;"Fwd2y"</f>
        <v>KRWFwd2y</v>
      </c>
      <c r="H2" s="1" t="str">
        <f>$A2&amp;"Fwd3y"</f>
        <v>KRWFwd3y</v>
      </c>
      <c r="I2" s="1" t="str">
        <f>$A2&amp;"Fwd4y"</f>
        <v>KRWFwd4y</v>
      </c>
      <c r="J2" s="1" t="str">
        <f>$A2&amp;"Fwd5y"</f>
        <v>KRWFwd5y</v>
      </c>
    </row>
    <row r="3" spans="1:10" s="1" customFormat="1" x14ac:dyDescent="0.3">
      <c r="B3" s="1" t="s">
        <v>2</v>
      </c>
      <c r="C3" s="3" t="s">
        <v>3</v>
      </c>
      <c r="D3" s="3" t="s">
        <v>4</v>
      </c>
      <c r="E3" s="3" t="s">
        <v>5</v>
      </c>
      <c r="F3" s="3" t="s">
        <v>6</v>
      </c>
      <c r="G3" s="3" t="s">
        <v>7</v>
      </c>
      <c r="H3" s="3" t="s">
        <v>8</v>
      </c>
      <c r="I3" s="3" t="s">
        <v>9</v>
      </c>
      <c r="J3" s="3" t="s">
        <v>10</v>
      </c>
    </row>
    <row r="4" spans="1:10" s="1" customFormat="1" x14ac:dyDescent="0.3">
      <c r="B4" s="1" t="s">
        <v>11</v>
      </c>
      <c r="C4" s="3" t="s">
        <v>12</v>
      </c>
      <c r="D4" s="3" t="s">
        <v>13</v>
      </c>
      <c r="E4" s="3" t="s">
        <v>14</v>
      </c>
      <c r="F4" s="3" t="s">
        <v>15</v>
      </c>
      <c r="G4" s="3" t="s">
        <v>16</v>
      </c>
      <c r="H4" s="3" t="s">
        <v>17</v>
      </c>
      <c r="I4" s="3" t="s">
        <v>18</v>
      </c>
      <c r="J4" s="3" t="s">
        <v>19</v>
      </c>
    </row>
    <row r="5" spans="1:10" x14ac:dyDescent="0.3">
      <c r="B5" s="1" t="s">
        <v>20</v>
      </c>
      <c r="C5" s="3" t="s">
        <v>21</v>
      </c>
      <c r="D5" s="3" t="s">
        <v>22</v>
      </c>
      <c r="E5" s="3" t="s">
        <v>23</v>
      </c>
      <c r="F5" s="3" t="s">
        <v>24</v>
      </c>
      <c r="G5" s="3" t="s">
        <v>25</v>
      </c>
      <c r="H5" s="3" t="s">
        <v>26</v>
      </c>
      <c r="I5" s="3" t="s">
        <v>27</v>
      </c>
      <c r="J5" s="3" t="s">
        <v>28</v>
      </c>
    </row>
    <row r="6" spans="1:10" x14ac:dyDescent="0.3">
      <c r="B6" s="1" t="s">
        <v>29</v>
      </c>
      <c r="C6" s="3" t="s">
        <v>30</v>
      </c>
      <c r="D6" s="3" t="s">
        <v>31</v>
      </c>
      <c r="E6" s="3" t="s">
        <v>32</v>
      </c>
      <c r="F6" s="3" t="s">
        <v>33</v>
      </c>
      <c r="G6" s="3" t="s">
        <v>34</v>
      </c>
      <c r="H6" s="3" t="s">
        <v>35</v>
      </c>
      <c r="I6" s="3" t="s">
        <v>36</v>
      </c>
      <c r="J6" s="3" t="s">
        <v>37</v>
      </c>
    </row>
    <row r="7" spans="1:10" x14ac:dyDescent="0.3">
      <c r="B7" s="1" t="s">
        <v>38</v>
      </c>
      <c r="C7" s="3" t="s">
        <v>39</v>
      </c>
      <c r="D7" s="3" t="s">
        <v>40</v>
      </c>
      <c r="E7" s="3" t="s">
        <v>41</v>
      </c>
      <c r="F7" s="3" t="s">
        <v>42</v>
      </c>
      <c r="G7" s="3" t="s">
        <v>43</v>
      </c>
      <c r="H7" s="3" t="s">
        <v>44</v>
      </c>
      <c r="I7" s="3" t="s">
        <v>45</v>
      </c>
      <c r="J7" s="3" t="s">
        <v>46</v>
      </c>
    </row>
    <row r="8" spans="1:10" x14ac:dyDescent="0.3">
      <c r="B8" s="1" t="s">
        <v>47</v>
      </c>
      <c r="C8" s="3" t="s">
        <v>48</v>
      </c>
      <c r="D8" s="3" t="s">
        <v>49</v>
      </c>
      <c r="E8" s="3" t="s">
        <v>50</v>
      </c>
      <c r="F8" s="3" t="s">
        <v>51</v>
      </c>
      <c r="G8" s="3" t="s">
        <v>52</v>
      </c>
      <c r="H8" s="3" t="s">
        <v>53</v>
      </c>
      <c r="I8" s="3" t="s">
        <v>54</v>
      </c>
      <c r="J8" s="3" t="s">
        <v>55</v>
      </c>
    </row>
    <row r="9" spans="1:10" x14ac:dyDescent="0.3">
      <c r="B9" s="1" t="s">
        <v>56</v>
      </c>
      <c r="C9" s="3" t="s">
        <v>57</v>
      </c>
      <c r="D9" s="3" t="s">
        <v>58</v>
      </c>
      <c r="E9" s="3" t="s">
        <v>59</v>
      </c>
      <c r="F9" s="1" t="s">
        <v>60</v>
      </c>
      <c r="G9" s="3" t="s">
        <v>61</v>
      </c>
      <c r="H9" s="1" t="s">
        <v>62</v>
      </c>
      <c r="I9" s="1" t="s">
        <v>63</v>
      </c>
      <c r="J9" s="3" t="s">
        <v>64</v>
      </c>
    </row>
    <row r="13" spans="1:10" x14ac:dyDescent="0.3">
      <c r="A13" s="4" t="s">
        <v>65</v>
      </c>
      <c r="C13" s="1" t="str">
        <f>A13&amp;"Spot"</f>
        <v>USSpot</v>
      </c>
      <c r="D13" s="1" t="str">
        <f>$A13&amp;"Fwd3m"</f>
        <v>USFwd3m</v>
      </c>
      <c r="E13" s="1" t="str">
        <f>$A13&amp;"Fwd6m"</f>
        <v>USFwd6m</v>
      </c>
      <c r="F13" s="1" t="str">
        <f>$A13&amp;"Fwd1y"</f>
        <v>USFwd1y</v>
      </c>
      <c r="G13" s="1" t="str">
        <f>$A13&amp;"Fwd2y"</f>
        <v>USFwd2y</v>
      </c>
      <c r="H13" s="1" t="str">
        <f>$A13&amp;"Fwd3y"</f>
        <v>USFwd3y</v>
      </c>
      <c r="I13" s="1" t="str">
        <f>$A13&amp;"Fwd4y"</f>
        <v>USFwd4y</v>
      </c>
      <c r="J13" s="1" t="str">
        <f>$A13&amp;"Fwd5y"</f>
        <v>USFwd5y</v>
      </c>
    </row>
    <row r="14" spans="1:10" x14ac:dyDescent="0.3">
      <c r="B14" s="4" t="s">
        <v>2</v>
      </c>
      <c r="C14" s="5" t="s">
        <v>66</v>
      </c>
      <c r="D14" s="5" t="s">
        <v>67</v>
      </c>
      <c r="E14" s="5" t="s">
        <v>68</v>
      </c>
      <c r="F14" s="5" t="s">
        <v>69</v>
      </c>
      <c r="G14" s="5" t="s">
        <v>70</v>
      </c>
      <c r="H14" s="5" t="s">
        <v>71</v>
      </c>
      <c r="I14" s="5" t="s">
        <v>72</v>
      </c>
      <c r="J14" s="5" t="s">
        <v>73</v>
      </c>
    </row>
    <row r="15" spans="1:10" x14ac:dyDescent="0.3">
      <c r="B15" s="4" t="s">
        <v>74</v>
      </c>
      <c r="C15" s="5" t="s">
        <v>75</v>
      </c>
      <c r="D15" s="5" t="s">
        <v>76</v>
      </c>
      <c r="E15" s="5" t="s">
        <v>77</v>
      </c>
      <c r="F15" s="5" t="s">
        <v>78</v>
      </c>
      <c r="G15" s="5" t="s">
        <v>79</v>
      </c>
      <c r="H15" s="5" t="s">
        <v>80</v>
      </c>
      <c r="I15" s="5" t="s">
        <v>81</v>
      </c>
      <c r="J15" s="5" t="s">
        <v>82</v>
      </c>
    </row>
    <row r="16" spans="1:10" x14ac:dyDescent="0.3">
      <c r="B16" s="4" t="s">
        <v>11</v>
      </c>
      <c r="C16" s="5" t="s">
        <v>83</v>
      </c>
      <c r="D16" s="5" t="s">
        <v>84</v>
      </c>
      <c r="E16" s="5" t="s">
        <v>85</v>
      </c>
      <c r="F16" s="5" t="s">
        <v>86</v>
      </c>
      <c r="G16" s="5" t="s">
        <v>87</v>
      </c>
      <c r="H16" s="5" t="s">
        <v>88</v>
      </c>
      <c r="I16" s="5" t="s">
        <v>89</v>
      </c>
      <c r="J16" s="5" t="s">
        <v>90</v>
      </c>
    </row>
    <row r="17" spans="1:10" x14ac:dyDescent="0.3">
      <c r="B17" s="4" t="s">
        <v>20</v>
      </c>
      <c r="C17" s="5" t="s">
        <v>91</v>
      </c>
      <c r="D17" s="5" t="s">
        <v>92</v>
      </c>
      <c r="E17" s="5" t="s">
        <v>93</v>
      </c>
      <c r="F17" s="5" t="s">
        <v>94</v>
      </c>
      <c r="G17" s="5" t="s">
        <v>95</v>
      </c>
      <c r="H17" s="5" t="s">
        <v>96</v>
      </c>
      <c r="I17" s="5" t="s">
        <v>97</v>
      </c>
      <c r="J17" s="5" t="s">
        <v>98</v>
      </c>
    </row>
    <row r="18" spans="1:10" x14ac:dyDescent="0.3">
      <c r="B18" s="4" t="s">
        <v>29</v>
      </c>
      <c r="C18" s="5" t="s">
        <v>99</v>
      </c>
      <c r="D18" s="5" t="s">
        <v>100</v>
      </c>
      <c r="E18" s="5" t="s">
        <v>101</v>
      </c>
      <c r="F18" s="5" t="s">
        <v>102</v>
      </c>
      <c r="G18" s="5" t="s">
        <v>103</v>
      </c>
      <c r="H18" s="5" t="s">
        <v>104</v>
      </c>
      <c r="I18" s="5" t="s">
        <v>105</v>
      </c>
      <c r="J18" s="5" t="s">
        <v>106</v>
      </c>
    </row>
    <row r="19" spans="1:10" x14ac:dyDescent="0.3">
      <c r="B19" s="4" t="s">
        <v>47</v>
      </c>
      <c r="C19" s="5" t="s">
        <v>107</v>
      </c>
      <c r="D19" s="5" t="s">
        <v>108</v>
      </c>
      <c r="E19" s="5" t="s">
        <v>109</v>
      </c>
      <c r="F19" s="5" t="s">
        <v>110</v>
      </c>
      <c r="G19" s="5" t="s">
        <v>111</v>
      </c>
      <c r="H19" s="5" t="s">
        <v>112</v>
      </c>
      <c r="I19" s="5" t="s">
        <v>113</v>
      </c>
      <c r="J19" s="5" t="s">
        <v>114</v>
      </c>
    </row>
    <row r="20" spans="1:10" x14ac:dyDescent="0.3">
      <c r="B20" s="4" t="s">
        <v>56</v>
      </c>
      <c r="C20" s="5" t="s">
        <v>115</v>
      </c>
      <c r="D20" s="5" t="s">
        <v>116</v>
      </c>
      <c r="E20" s="5" t="s">
        <v>117</v>
      </c>
      <c r="F20" s="5" t="s">
        <v>118</v>
      </c>
      <c r="G20" s="5" t="s">
        <v>119</v>
      </c>
      <c r="H20" s="5" t="s">
        <v>120</v>
      </c>
      <c r="I20" s="5" t="s">
        <v>121</v>
      </c>
      <c r="J20" s="5" t="s">
        <v>122</v>
      </c>
    </row>
    <row r="23" spans="1:10" x14ac:dyDescent="0.3">
      <c r="A23" s="4" t="s">
        <v>123</v>
      </c>
      <c r="C23" s="1" t="str">
        <f>A23&amp;"Spot"</f>
        <v>SGSpot</v>
      </c>
      <c r="D23" s="1" t="str">
        <f>$A23&amp;"Fwd3m"</f>
        <v>SGFwd3m</v>
      </c>
      <c r="E23" s="1" t="str">
        <f>$A23&amp;"Fwd6m"</f>
        <v>SGFwd6m</v>
      </c>
      <c r="F23" s="1" t="str">
        <f>$A23&amp;"Fwd1y"</f>
        <v>SGFwd1y</v>
      </c>
      <c r="G23" s="1" t="str">
        <f>$A23&amp;"Fwd2y"</f>
        <v>SGFwd2y</v>
      </c>
      <c r="H23" s="1" t="str">
        <f>$A23&amp;"Fwd3y"</f>
        <v>SGFwd3y</v>
      </c>
      <c r="I23" s="1" t="str">
        <f>$A23&amp;"Fwd4y"</f>
        <v>SGFwd4y</v>
      </c>
      <c r="J23" s="1" t="str">
        <f>$A23&amp;"Fwd5y"</f>
        <v>SGFwd5y</v>
      </c>
    </row>
    <row r="24" spans="1:10" x14ac:dyDescent="0.3">
      <c r="B24" s="4" t="s">
        <v>2</v>
      </c>
      <c r="C24" s="5" t="s">
        <v>124</v>
      </c>
      <c r="D24" s="5" t="s">
        <v>125</v>
      </c>
      <c r="E24" s="5" t="s">
        <v>126</v>
      </c>
      <c r="F24" s="5" t="s">
        <v>127</v>
      </c>
      <c r="G24" s="5" t="s">
        <v>128</v>
      </c>
      <c r="H24" s="5" t="s">
        <v>129</v>
      </c>
      <c r="I24" s="5" t="s">
        <v>130</v>
      </c>
      <c r="J24" s="5" t="s">
        <v>131</v>
      </c>
    </row>
    <row r="25" spans="1:10" x14ac:dyDescent="0.3">
      <c r="B25" s="4" t="s">
        <v>74</v>
      </c>
      <c r="C25" s="5" t="s">
        <v>132</v>
      </c>
      <c r="D25" s="5" t="s">
        <v>133</v>
      </c>
      <c r="E25" s="5" t="s">
        <v>134</v>
      </c>
      <c r="F25" s="5" t="s">
        <v>135</v>
      </c>
      <c r="G25" s="5" t="s">
        <v>136</v>
      </c>
      <c r="H25" s="5" t="s">
        <v>137</v>
      </c>
      <c r="I25" s="5" t="s">
        <v>138</v>
      </c>
      <c r="J25" s="5" t="s">
        <v>139</v>
      </c>
    </row>
    <row r="26" spans="1:10" x14ac:dyDescent="0.3">
      <c r="B26" s="4" t="s">
        <v>11</v>
      </c>
      <c r="C26" s="5" t="s">
        <v>140</v>
      </c>
      <c r="D26" s="5" t="s">
        <v>141</v>
      </c>
      <c r="E26" s="5" t="s">
        <v>142</v>
      </c>
      <c r="F26" s="5" t="s">
        <v>143</v>
      </c>
      <c r="G26" s="5" t="s">
        <v>144</v>
      </c>
      <c r="H26" s="5" t="s">
        <v>145</v>
      </c>
      <c r="I26" s="5" t="s">
        <v>146</v>
      </c>
      <c r="J26" s="5" t="s">
        <v>147</v>
      </c>
    </row>
    <row r="27" spans="1:10" x14ac:dyDescent="0.3">
      <c r="B27" s="4" t="s">
        <v>20</v>
      </c>
      <c r="C27" s="5" t="s">
        <v>148</v>
      </c>
      <c r="D27" s="5" t="s">
        <v>149</v>
      </c>
      <c r="E27" s="5" t="s">
        <v>150</v>
      </c>
      <c r="F27" s="5" t="s">
        <v>151</v>
      </c>
      <c r="G27" s="5" t="s">
        <v>152</v>
      </c>
      <c r="H27" s="5" t="s">
        <v>153</v>
      </c>
      <c r="I27" s="5" t="s">
        <v>154</v>
      </c>
      <c r="J27" s="5" t="s">
        <v>155</v>
      </c>
    </row>
    <row r="28" spans="1:10" x14ac:dyDescent="0.3">
      <c r="B28" s="4" t="s">
        <v>29</v>
      </c>
      <c r="C28" s="5" t="s">
        <v>156</v>
      </c>
      <c r="D28" s="5" t="s">
        <v>157</v>
      </c>
      <c r="E28" s="5" t="s">
        <v>158</v>
      </c>
      <c r="F28" s="5" t="s">
        <v>159</v>
      </c>
      <c r="G28" s="5" t="s">
        <v>160</v>
      </c>
      <c r="H28" s="5" t="s">
        <v>161</v>
      </c>
      <c r="I28" s="5" t="s">
        <v>162</v>
      </c>
      <c r="J28" s="5" t="s">
        <v>163</v>
      </c>
    </row>
    <row r="29" spans="1:10" x14ac:dyDescent="0.3">
      <c r="B29" s="4" t="s">
        <v>38</v>
      </c>
      <c r="C29" s="5" t="s">
        <v>164</v>
      </c>
      <c r="D29" s="5" t="s">
        <v>165</v>
      </c>
      <c r="E29" s="5" t="s">
        <v>166</v>
      </c>
      <c r="F29" s="5" t="s">
        <v>167</v>
      </c>
      <c r="G29" s="5" t="s">
        <v>168</v>
      </c>
      <c r="H29" s="5" t="s">
        <v>169</v>
      </c>
      <c r="I29" s="5" t="s">
        <v>170</v>
      </c>
      <c r="J29" s="5" t="s">
        <v>171</v>
      </c>
    </row>
    <row r="30" spans="1:10" x14ac:dyDescent="0.3">
      <c r="B30" s="4" t="s">
        <v>47</v>
      </c>
      <c r="C30" s="5" t="s">
        <v>172</v>
      </c>
      <c r="D30" s="5" t="s">
        <v>173</v>
      </c>
      <c r="E30" s="5" t="s">
        <v>174</v>
      </c>
      <c r="F30" s="5" t="s">
        <v>175</v>
      </c>
      <c r="G30" s="5" t="s">
        <v>176</v>
      </c>
      <c r="H30" s="5" t="s">
        <v>177</v>
      </c>
      <c r="I30" s="5" t="s">
        <v>178</v>
      </c>
      <c r="J30" s="5" t="s">
        <v>179</v>
      </c>
    </row>
    <row r="31" spans="1:10" x14ac:dyDescent="0.3">
      <c r="B31" s="4" t="s">
        <v>56</v>
      </c>
      <c r="C31" s="5" t="s">
        <v>180</v>
      </c>
      <c r="D31" s="5" t="s">
        <v>181</v>
      </c>
      <c r="E31" s="5" t="s">
        <v>182</v>
      </c>
      <c r="F31" t="s">
        <v>183</v>
      </c>
      <c r="G31" s="5" t="s">
        <v>184</v>
      </c>
      <c r="H31" s="5" t="s">
        <v>185</v>
      </c>
      <c r="I31" s="5" t="s">
        <v>186</v>
      </c>
      <c r="J31" s="5" t="s">
        <v>187</v>
      </c>
    </row>
    <row r="35" spans="1:10" x14ac:dyDescent="0.3">
      <c r="A35" s="4" t="s">
        <v>188</v>
      </c>
      <c r="C35" s="1" t="str">
        <f>A35&amp;"Spot"</f>
        <v>MYSpot</v>
      </c>
      <c r="D35" s="1" t="str">
        <f>$A35&amp;"Fwd3m"</f>
        <v>MYFwd3m</v>
      </c>
      <c r="E35" s="1" t="str">
        <f>$A35&amp;"Fwd6m"</f>
        <v>MYFwd6m</v>
      </c>
      <c r="F35" s="1" t="str">
        <f>$A35&amp;"Fwd1y"</f>
        <v>MYFwd1y</v>
      </c>
      <c r="G35" s="1" t="str">
        <f>$A35&amp;"Fwd2y"</f>
        <v>MYFwd2y</v>
      </c>
      <c r="H35" s="1" t="str">
        <f>$A35&amp;"Fwd3y"</f>
        <v>MYFwd3y</v>
      </c>
      <c r="I35" s="1" t="str">
        <f>$A35&amp;"Fwd4y"</f>
        <v>MYFwd4y</v>
      </c>
      <c r="J35" s="1" t="str">
        <f>$A35&amp;"Fwd5y"</f>
        <v>MYFwd5y</v>
      </c>
    </row>
    <row r="36" spans="1:10" x14ac:dyDescent="0.3">
      <c r="B36" s="4" t="s">
        <v>2</v>
      </c>
      <c r="C36" s="5" t="s">
        <v>189</v>
      </c>
      <c r="D36" s="5" t="s">
        <v>190</v>
      </c>
      <c r="E36" s="5" t="s">
        <v>191</v>
      </c>
      <c r="F36" s="5" t="s">
        <v>192</v>
      </c>
      <c r="G36" s="5" t="s">
        <v>193</v>
      </c>
      <c r="H36" s="5" t="s">
        <v>194</v>
      </c>
      <c r="I36" s="5" t="s">
        <v>195</v>
      </c>
      <c r="J36" s="5" t="s">
        <v>196</v>
      </c>
    </row>
    <row r="37" spans="1:10" x14ac:dyDescent="0.3">
      <c r="B37" s="4" t="s">
        <v>74</v>
      </c>
      <c r="C37" s="5" t="s">
        <v>197</v>
      </c>
      <c r="D37" s="5" t="s">
        <v>198</v>
      </c>
      <c r="E37" s="5" t="s">
        <v>199</v>
      </c>
      <c r="F37" s="5" t="s">
        <v>200</v>
      </c>
      <c r="G37" s="5" t="s">
        <v>201</v>
      </c>
      <c r="H37" s="5" t="s">
        <v>202</v>
      </c>
      <c r="I37" s="5" t="s">
        <v>203</v>
      </c>
      <c r="J37" s="5" t="s">
        <v>204</v>
      </c>
    </row>
    <row r="38" spans="1:10" x14ac:dyDescent="0.3">
      <c r="B38" s="4" t="s">
        <v>11</v>
      </c>
      <c r="C38" s="5" t="s">
        <v>205</v>
      </c>
      <c r="D38" s="5" t="s">
        <v>206</v>
      </c>
      <c r="E38" s="5" t="s">
        <v>207</v>
      </c>
      <c r="F38" s="5" t="s">
        <v>208</v>
      </c>
      <c r="G38" s="5" t="s">
        <v>209</v>
      </c>
      <c r="H38" s="5" t="s">
        <v>210</v>
      </c>
      <c r="I38" s="5" t="s">
        <v>211</v>
      </c>
      <c r="J38" s="5" t="s">
        <v>212</v>
      </c>
    </row>
    <row r="39" spans="1:10" x14ac:dyDescent="0.3">
      <c r="B39" s="4" t="s">
        <v>20</v>
      </c>
      <c r="C39" s="5" t="s">
        <v>213</v>
      </c>
      <c r="D39" s="5" t="s">
        <v>214</v>
      </c>
      <c r="E39" s="5" t="s">
        <v>215</v>
      </c>
      <c r="F39" s="5" t="s">
        <v>216</v>
      </c>
      <c r="G39" s="5" t="s">
        <v>217</v>
      </c>
      <c r="H39" s="5" t="s">
        <v>218</v>
      </c>
      <c r="I39" s="5" t="s">
        <v>219</v>
      </c>
      <c r="J39" s="5" t="s">
        <v>220</v>
      </c>
    </row>
    <row r="40" spans="1:10" x14ac:dyDescent="0.3">
      <c r="B40" s="4" t="s">
        <v>29</v>
      </c>
      <c r="C40" s="5" t="s">
        <v>221</v>
      </c>
      <c r="D40" s="5" t="s">
        <v>222</v>
      </c>
      <c r="E40" s="5" t="s">
        <v>223</v>
      </c>
      <c r="F40" s="5" t="s">
        <v>224</v>
      </c>
      <c r="G40" s="5" t="s">
        <v>225</v>
      </c>
      <c r="H40" s="5" t="s">
        <v>226</v>
      </c>
      <c r="I40" s="5" t="s">
        <v>227</v>
      </c>
      <c r="J40" s="5" t="s">
        <v>228</v>
      </c>
    </row>
    <row r="41" spans="1:10" x14ac:dyDescent="0.3">
      <c r="B41" s="4" t="s">
        <v>47</v>
      </c>
      <c r="C41" s="5" t="s">
        <v>229</v>
      </c>
      <c r="D41" s="5" t="s">
        <v>230</v>
      </c>
      <c r="E41" s="5" t="s">
        <v>231</v>
      </c>
      <c r="F41" s="5" t="s">
        <v>232</v>
      </c>
      <c r="G41" s="5" t="s">
        <v>233</v>
      </c>
      <c r="H41" s="5" t="s">
        <v>234</v>
      </c>
      <c r="I41" s="5" t="s">
        <v>235</v>
      </c>
      <c r="J41" s="5" t="s">
        <v>236</v>
      </c>
    </row>
    <row r="42" spans="1:10" x14ac:dyDescent="0.3">
      <c r="B42" s="4" t="s">
        <v>56</v>
      </c>
      <c r="C42" s="5" t="s">
        <v>237</v>
      </c>
      <c r="D42" s="5" t="s">
        <v>238</v>
      </c>
      <c r="E42" s="5" t="s">
        <v>239</v>
      </c>
      <c r="F42" s="5" t="s">
        <v>240</v>
      </c>
      <c r="G42" s="5" t="s">
        <v>241</v>
      </c>
      <c r="H42" s="5" t="s">
        <v>242</v>
      </c>
      <c r="I42" s="5" t="s">
        <v>243</v>
      </c>
      <c r="J42" s="5" t="s">
        <v>244</v>
      </c>
    </row>
    <row r="45" spans="1:10" x14ac:dyDescent="0.3">
      <c r="A45" s="4" t="s">
        <v>245</v>
      </c>
      <c r="C45" s="1" t="str">
        <f>A45&amp;"Spot"</f>
        <v>CNSpot</v>
      </c>
      <c r="D45" s="1" t="str">
        <f>$A45&amp;"Fwd3m"</f>
        <v>CNFwd3m</v>
      </c>
      <c r="E45" s="1" t="str">
        <f>$A45&amp;"Fwd6m"</f>
        <v>CNFwd6m</v>
      </c>
      <c r="F45" s="1" t="str">
        <f>$A45&amp;"Fwd1y"</f>
        <v>CNFwd1y</v>
      </c>
      <c r="G45" s="1" t="str">
        <f>$A45&amp;"Fwd2y"</f>
        <v>CNFwd2y</v>
      </c>
      <c r="H45" s="1" t="str">
        <f>$A45&amp;"Fwd3y"</f>
        <v>CNFwd3y</v>
      </c>
      <c r="I45" s="1" t="str">
        <f>$A45&amp;"Fwd4y"</f>
        <v>CNFwd4y</v>
      </c>
      <c r="J45" s="1" t="str">
        <f>$A45&amp;"Fwd5y"</f>
        <v>CNFwd5y</v>
      </c>
    </row>
    <row r="46" spans="1:10" x14ac:dyDescent="0.3">
      <c r="B46" s="4" t="s">
        <v>2</v>
      </c>
      <c r="C46" s="5" t="s">
        <v>246</v>
      </c>
      <c r="D46" s="5" t="s">
        <v>247</v>
      </c>
      <c r="E46" s="5" t="s">
        <v>248</v>
      </c>
      <c r="F46" s="6" t="s">
        <v>249</v>
      </c>
      <c r="G46" s="5" t="s">
        <v>250</v>
      </c>
      <c r="H46" s="5" t="s">
        <v>251</v>
      </c>
      <c r="I46" s="5" t="s">
        <v>252</v>
      </c>
      <c r="J46" s="5" t="s">
        <v>253</v>
      </c>
    </row>
    <row r="47" spans="1:10" x14ac:dyDescent="0.3">
      <c r="B47" s="4" t="s">
        <v>74</v>
      </c>
      <c r="C47" s="5" t="s">
        <v>254</v>
      </c>
      <c r="D47" s="5" t="s">
        <v>255</v>
      </c>
      <c r="E47" s="5" t="s">
        <v>256</v>
      </c>
      <c r="F47" s="5" t="s">
        <v>257</v>
      </c>
      <c r="G47" s="5" t="s">
        <v>258</v>
      </c>
      <c r="H47" s="5" t="s">
        <v>259</v>
      </c>
      <c r="I47" s="5" t="s">
        <v>260</v>
      </c>
      <c r="J47" s="5" t="s">
        <v>261</v>
      </c>
    </row>
    <row r="48" spans="1:10" x14ac:dyDescent="0.3">
      <c r="B48" s="4" t="s">
        <v>11</v>
      </c>
      <c r="C48" s="5" t="s">
        <v>262</v>
      </c>
      <c r="D48" s="5" t="s">
        <v>263</v>
      </c>
      <c r="E48" s="5" t="s">
        <v>264</v>
      </c>
      <c r="F48" s="5" t="s">
        <v>265</v>
      </c>
      <c r="G48" s="5" t="s">
        <v>266</v>
      </c>
      <c r="H48" s="5" t="s">
        <v>267</v>
      </c>
      <c r="I48" s="5" t="s">
        <v>268</v>
      </c>
      <c r="J48" s="5" t="s">
        <v>269</v>
      </c>
    </row>
    <row r="49" spans="1:10" x14ac:dyDescent="0.3">
      <c r="B49" s="4" t="s">
        <v>20</v>
      </c>
      <c r="C49" s="5" t="s">
        <v>270</v>
      </c>
      <c r="D49" s="5" t="s">
        <v>271</v>
      </c>
      <c r="E49" s="5" t="s">
        <v>272</v>
      </c>
      <c r="F49" s="5" t="s">
        <v>273</v>
      </c>
      <c r="G49" s="5" t="s">
        <v>274</v>
      </c>
      <c r="H49" s="5" t="s">
        <v>275</v>
      </c>
      <c r="I49" s="5" t="s">
        <v>276</v>
      </c>
      <c r="J49" s="5" t="s">
        <v>277</v>
      </c>
    </row>
    <row r="50" spans="1:10" x14ac:dyDescent="0.3">
      <c r="B50" s="4" t="s">
        <v>29</v>
      </c>
      <c r="C50" s="5" t="s">
        <v>278</v>
      </c>
      <c r="D50" s="5" t="s">
        <v>279</v>
      </c>
      <c r="E50" s="5" t="s">
        <v>280</v>
      </c>
      <c r="F50" s="5" t="s">
        <v>281</v>
      </c>
      <c r="G50" s="5" t="s">
        <v>282</v>
      </c>
      <c r="H50" s="5" t="s">
        <v>283</v>
      </c>
      <c r="I50" s="5" t="s">
        <v>284</v>
      </c>
      <c r="J50" s="5" t="s">
        <v>285</v>
      </c>
    </row>
    <row r="51" spans="1:10" x14ac:dyDescent="0.3">
      <c r="B51" s="4" t="s">
        <v>38</v>
      </c>
      <c r="C51" s="5" t="s">
        <v>286</v>
      </c>
      <c r="D51" s="5" t="s">
        <v>287</v>
      </c>
      <c r="E51" s="5" t="s">
        <v>288</v>
      </c>
      <c r="F51" s="5" t="s">
        <v>289</v>
      </c>
      <c r="G51" s="5" t="s">
        <v>290</v>
      </c>
      <c r="H51" s="5" t="s">
        <v>291</v>
      </c>
      <c r="I51" s="5" t="s">
        <v>292</v>
      </c>
      <c r="J51" s="5" t="s">
        <v>293</v>
      </c>
    </row>
    <row r="52" spans="1:10" x14ac:dyDescent="0.3">
      <c r="B52" s="4" t="s">
        <v>47</v>
      </c>
      <c r="C52" s="5" t="s">
        <v>294</v>
      </c>
      <c r="D52" s="5" t="s">
        <v>295</v>
      </c>
      <c r="E52" s="5" t="s">
        <v>296</v>
      </c>
      <c r="F52" s="5" t="s">
        <v>297</v>
      </c>
      <c r="G52" s="5" t="s">
        <v>298</v>
      </c>
      <c r="H52" s="5" t="s">
        <v>299</v>
      </c>
      <c r="I52" s="5" t="s">
        <v>300</v>
      </c>
      <c r="J52" s="5" t="s">
        <v>301</v>
      </c>
    </row>
    <row r="53" spans="1:10" x14ac:dyDescent="0.3">
      <c r="B53" s="4" t="s">
        <v>56</v>
      </c>
      <c r="C53" s="5" t="s">
        <v>302</v>
      </c>
      <c r="D53" s="5" t="s">
        <v>303</v>
      </c>
      <c r="E53" s="5" t="s">
        <v>304</v>
      </c>
      <c r="F53" s="5" t="s">
        <v>305</v>
      </c>
      <c r="G53" s="5" t="s">
        <v>306</v>
      </c>
      <c r="H53" t="s">
        <v>307</v>
      </c>
      <c r="I53" s="5" t="s">
        <v>308</v>
      </c>
      <c r="J53" t="s">
        <v>309</v>
      </c>
    </row>
    <row r="57" spans="1:10" x14ac:dyDescent="0.3">
      <c r="A57" s="4" t="s">
        <v>310</v>
      </c>
      <c r="C57" s="1" t="str">
        <f>A57&amp;"Spot"</f>
        <v>TWSpot</v>
      </c>
      <c r="D57" s="1" t="str">
        <f>$A57&amp;"Fwd3m"</f>
        <v>TWFwd3m</v>
      </c>
      <c r="E57" s="1" t="str">
        <f>$A57&amp;"Fwd6m"</f>
        <v>TWFwd6m</v>
      </c>
      <c r="F57" s="1" t="str">
        <f>$A57&amp;"Fwd1y"</f>
        <v>TWFwd1y</v>
      </c>
      <c r="G57" s="1" t="str">
        <f>$A57&amp;"Fwd2y"</f>
        <v>TWFwd2y</v>
      </c>
      <c r="H57" s="1" t="str">
        <f>$A57&amp;"Fwd3y"</f>
        <v>TWFwd3y</v>
      </c>
      <c r="I57" s="1" t="str">
        <f>$A57&amp;"Fwd4y"</f>
        <v>TWFwd4y</v>
      </c>
      <c r="J57" s="1" t="str">
        <f>$A57&amp;"Fwd5y"</f>
        <v>TWFwd5y</v>
      </c>
    </row>
    <row r="58" spans="1:10" x14ac:dyDescent="0.3">
      <c r="B58" s="4" t="s">
        <v>2</v>
      </c>
      <c r="C58" s="5" t="s">
        <v>311</v>
      </c>
      <c r="D58" s="5" t="s">
        <v>312</v>
      </c>
      <c r="E58" s="6" t="s">
        <v>313</v>
      </c>
      <c r="F58" s="5" t="s">
        <v>314</v>
      </c>
      <c r="G58" s="5" t="s">
        <v>315</v>
      </c>
      <c r="H58" s="5" t="s">
        <v>316</v>
      </c>
      <c r="I58" s="5" t="s">
        <v>317</v>
      </c>
      <c r="J58" s="5" t="s">
        <v>318</v>
      </c>
    </row>
    <row r="59" spans="1:10" x14ac:dyDescent="0.3">
      <c r="B59" s="4" t="s">
        <v>74</v>
      </c>
      <c r="C59" s="5" t="s">
        <v>319</v>
      </c>
      <c r="D59" s="5" t="s">
        <v>320</v>
      </c>
      <c r="E59" s="5" t="s">
        <v>321</v>
      </c>
      <c r="F59" s="5" t="s">
        <v>322</v>
      </c>
      <c r="G59" s="5" t="s">
        <v>323</v>
      </c>
      <c r="H59" s="5" t="s">
        <v>324</v>
      </c>
      <c r="I59" s="5" t="s">
        <v>325</v>
      </c>
      <c r="J59" s="5" t="s">
        <v>326</v>
      </c>
    </row>
    <row r="60" spans="1:10" x14ac:dyDescent="0.3">
      <c r="B60" s="4" t="s">
        <v>29</v>
      </c>
      <c r="C60" s="5" t="s">
        <v>327</v>
      </c>
      <c r="D60" s="5" t="s">
        <v>328</v>
      </c>
      <c r="E60" s="5" t="s">
        <v>329</v>
      </c>
      <c r="F60" s="5" t="s">
        <v>330</v>
      </c>
      <c r="G60" s="5" t="s">
        <v>331</v>
      </c>
      <c r="H60" s="5" t="s">
        <v>332</v>
      </c>
      <c r="I60" s="5" t="s">
        <v>333</v>
      </c>
      <c r="J60" s="5" t="s">
        <v>334</v>
      </c>
    </row>
    <row r="61" spans="1:10" x14ac:dyDescent="0.3">
      <c r="B61" s="4" t="s">
        <v>47</v>
      </c>
      <c r="C61" s="5" t="s">
        <v>335</v>
      </c>
      <c r="D61" s="5" t="s">
        <v>336</v>
      </c>
      <c r="E61" s="5" t="s">
        <v>337</v>
      </c>
      <c r="F61" s="5" t="s">
        <v>338</v>
      </c>
      <c r="G61" s="5" t="s">
        <v>339</v>
      </c>
      <c r="H61" s="5" t="s">
        <v>340</v>
      </c>
      <c r="I61" s="5" t="s">
        <v>341</v>
      </c>
      <c r="J61" s="5" t="s">
        <v>342</v>
      </c>
    </row>
    <row r="62" spans="1:10" x14ac:dyDescent="0.3">
      <c r="B62" s="4" t="s">
        <v>56</v>
      </c>
      <c r="C62" t="s">
        <v>343</v>
      </c>
      <c r="D62" t="s">
        <v>344</v>
      </c>
      <c r="E62" s="5" t="s">
        <v>345</v>
      </c>
      <c r="F62" s="5" t="s">
        <v>346</v>
      </c>
      <c r="G62" s="5" t="s">
        <v>347</v>
      </c>
      <c r="H62" s="5" t="s">
        <v>348</v>
      </c>
      <c r="I62" t="s">
        <v>349</v>
      </c>
      <c r="J62" s="5" t="s">
        <v>350</v>
      </c>
    </row>
    <row r="66" spans="1:10" x14ac:dyDescent="0.3">
      <c r="A66" s="4" t="s">
        <v>351</v>
      </c>
      <c r="C66" s="1" t="str">
        <f>A66&amp;"Spot"</f>
        <v>INSpot</v>
      </c>
      <c r="D66" s="1" t="str">
        <f>$A66&amp;"Fwd3m"</f>
        <v>INFwd3m</v>
      </c>
      <c r="E66" s="1" t="str">
        <f>$A66&amp;"Fwd6m"</f>
        <v>INFwd6m</v>
      </c>
      <c r="F66" s="1" t="str">
        <f>$A66&amp;"Fwd1y"</f>
        <v>INFwd1y</v>
      </c>
      <c r="G66" s="1" t="str">
        <f>$A66&amp;"Fwd2y"</f>
        <v>INFwd2y</v>
      </c>
      <c r="H66" s="1" t="str">
        <f>$A66&amp;"Fwd3y"</f>
        <v>INFwd3y</v>
      </c>
      <c r="I66" s="1" t="str">
        <f>$A66&amp;"Fwd4y"</f>
        <v>INFwd4y</v>
      </c>
      <c r="J66" s="1" t="str">
        <f>$A66&amp;"Fwd5y"</f>
        <v>INFwd5y</v>
      </c>
    </row>
    <row r="67" spans="1:10" x14ac:dyDescent="0.3">
      <c r="B67" s="4" t="s">
        <v>2</v>
      </c>
      <c r="C67" s="5" t="s">
        <v>352</v>
      </c>
      <c r="D67" s="5" t="s">
        <v>353</v>
      </c>
      <c r="E67" s="5" t="s">
        <v>354</v>
      </c>
      <c r="F67" s="6" t="s">
        <v>355</v>
      </c>
      <c r="G67" s="5" t="s">
        <v>356</v>
      </c>
      <c r="H67" s="5" t="s">
        <v>357</v>
      </c>
      <c r="I67" s="5" t="s">
        <v>358</v>
      </c>
      <c r="J67" s="5" t="s">
        <v>359</v>
      </c>
    </row>
    <row r="68" spans="1:10" x14ac:dyDescent="0.3">
      <c r="B68" s="4" t="s">
        <v>74</v>
      </c>
      <c r="C68" s="5" t="s">
        <v>360</v>
      </c>
      <c r="D68" s="5" t="s">
        <v>361</v>
      </c>
      <c r="E68" s="5" t="s">
        <v>362</v>
      </c>
      <c r="F68" s="5" t="s">
        <v>363</v>
      </c>
      <c r="G68" s="5" t="s">
        <v>364</v>
      </c>
      <c r="H68" s="5" t="s">
        <v>365</v>
      </c>
      <c r="I68" s="5" t="s">
        <v>366</v>
      </c>
      <c r="J68" s="5" t="s">
        <v>367</v>
      </c>
    </row>
    <row r="69" spans="1:10" x14ac:dyDescent="0.3">
      <c r="B69" s="4" t="s">
        <v>11</v>
      </c>
      <c r="C69" s="5" t="s">
        <v>368</v>
      </c>
      <c r="D69" s="5" t="s">
        <v>369</v>
      </c>
      <c r="E69" s="5" t="s">
        <v>370</v>
      </c>
      <c r="F69" s="5" t="s">
        <v>371</v>
      </c>
      <c r="G69" s="5" t="s">
        <v>372</v>
      </c>
      <c r="H69" s="5" t="s">
        <v>373</v>
      </c>
      <c r="I69" s="5" t="s">
        <v>374</v>
      </c>
      <c r="J69" s="5" t="s">
        <v>375</v>
      </c>
    </row>
    <row r="70" spans="1:10" x14ac:dyDescent="0.3">
      <c r="B70" s="4" t="s">
        <v>20</v>
      </c>
      <c r="C70" s="5" t="s">
        <v>376</v>
      </c>
      <c r="D70" s="5" t="s">
        <v>377</v>
      </c>
      <c r="E70" s="5" t="s">
        <v>378</v>
      </c>
      <c r="F70" s="5" t="s">
        <v>379</v>
      </c>
      <c r="G70" s="5" t="s">
        <v>380</v>
      </c>
      <c r="H70" s="5" t="s">
        <v>381</v>
      </c>
      <c r="I70" s="5" t="s">
        <v>382</v>
      </c>
      <c r="J70" s="5" t="s">
        <v>383</v>
      </c>
    </row>
    <row r="71" spans="1:10" x14ac:dyDescent="0.3">
      <c r="B71" s="4" t="s">
        <v>29</v>
      </c>
      <c r="C71" s="5" t="s">
        <v>384</v>
      </c>
      <c r="D71" s="5" t="s">
        <v>385</v>
      </c>
      <c r="E71" s="5" t="s">
        <v>386</v>
      </c>
      <c r="F71" s="5" t="s">
        <v>387</v>
      </c>
      <c r="G71" s="5" t="s">
        <v>388</v>
      </c>
      <c r="H71" s="5" t="s">
        <v>389</v>
      </c>
      <c r="I71" s="5" t="s">
        <v>390</v>
      </c>
      <c r="J71" s="5" t="s">
        <v>391</v>
      </c>
    </row>
    <row r="72" spans="1:10" x14ac:dyDescent="0.3">
      <c r="B72" s="4" t="s">
        <v>38</v>
      </c>
      <c r="C72" s="5" t="s">
        <v>392</v>
      </c>
      <c r="D72" s="5" t="s">
        <v>393</v>
      </c>
      <c r="E72" s="5" t="s">
        <v>394</v>
      </c>
      <c r="F72" s="5" t="s">
        <v>395</v>
      </c>
      <c r="G72" s="5" t="s">
        <v>396</v>
      </c>
      <c r="H72" s="5" t="s">
        <v>397</v>
      </c>
      <c r="I72" s="5" t="s">
        <v>398</v>
      </c>
      <c r="J72" s="5" t="s">
        <v>399</v>
      </c>
    </row>
    <row r="73" spans="1:10" x14ac:dyDescent="0.3">
      <c r="B73" s="4" t="s">
        <v>47</v>
      </c>
      <c r="C73" s="5" t="s">
        <v>400</v>
      </c>
      <c r="D73" s="5" t="s">
        <v>401</v>
      </c>
      <c r="E73" s="5" t="s">
        <v>402</v>
      </c>
      <c r="F73" s="5" t="s">
        <v>403</v>
      </c>
      <c r="G73" s="5" t="s">
        <v>404</v>
      </c>
      <c r="H73" s="5" t="s">
        <v>405</v>
      </c>
      <c r="I73" s="5" t="s">
        <v>406</v>
      </c>
      <c r="J73" s="5" t="s">
        <v>407</v>
      </c>
    </row>
    <row r="74" spans="1:10" x14ac:dyDescent="0.3">
      <c r="B74" s="4" t="s">
        <v>56</v>
      </c>
      <c r="C74" s="5" t="s">
        <v>408</v>
      </c>
      <c r="D74" s="5" t="s">
        <v>409</v>
      </c>
      <c r="E74" s="5" t="s">
        <v>410</v>
      </c>
      <c r="F74" s="5" t="s">
        <v>411</v>
      </c>
      <c r="G74" s="5" t="s">
        <v>412</v>
      </c>
      <c r="H74" t="s">
        <v>413</v>
      </c>
      <c r="I74" t="s">
        <v>414</v>
      </c>
      <c r="J74" s="5" t="s">
        <v>415</v>
      </c>
    </row>
    <row r="78" spans="1:10" x14ac:dyDescent="0.3">
      <c r="A78" s="4" t="s">
        <v>416</v>
      </c>
      <c r="C78" s="1" t="str">
        <f>A78&amp;"Spot"</f>
        <v>AUSpot</v>
      </c>
      <c r="D78" s="1" t="str">
        <f>$A78&amp;"Fwd3m"</f>
        <v>AUFwd3m</v>
      </c>
      <c r="E78" s="1" t="str">
        <f>$A78&amp;"Fwd6m"</f>
        <v>AUFwd6m</v>
      </c>
      <c r="F78" s="1" t="str">
        <f>$A78&amp;"Fwd1y"</f>
        <v>AUFwd1y</v>
      </c>
      <c r="G78" s="1" t="str">
        <f>$A78&amp;"Fwd2y"</f>
        <v>AUFwd2y</v>
      </c>
      <c r="H78" s="1" t="str">
        <f>$A78&amp;"Fwd3y"</f>
        <v>AUFwd3y</v>
      </c>
      <c r="I78" s="1" t="str">
        <f>$A78&amp;"Fwd4y"</f>
        <v>AUFwd4y</v>
      </c>
      <c r="J78" s="1" t="str">
        <f>$A78&amp;"Fwd5y"</f>
        <v>AUFwd5y</v>
      </c>
    </row>
    <row r="79" spans="1:10" x14ac:dyDescent="0.3">
      <c r="B79" s="4" t="s">
        <v>2</v>
      </c>
      <c r="C79" s="4" t="s">
        <v>417</v>
      </c>
      <c r="D79" s="4" t="s">
        <v>418</v>
      </c>
      <c r="E79" s="4" t="s">
        <v>419</v>
      </c>
      <c r="F79" s="4" t="s">
        <v>420</v>
      </c>
      <c r="G79" s="4" t="s">
        <v>421</v>
      </c>
      <c r="H79" s="4" t="s">
        <v>422</v>
      </c>
      <c r="I79" s="4" t="s">
        <v>423</v>
      </c>
      <c r="J79" s="4" t="s">
        <v>424</v>
      </c>
    </row>
    <row r="80" spans="1:10" x14ac:dyDescent="0.3">
      <c r="B80" s="4" t="s">
        <v>11</v>
      </c>
      <c r="C80" s="4" t="s">
        <v>425</v>
      </c>
      <c r="D80" s="4" t="s">
        <v>426</v>
      </c>
      <c r="E80" s="4" t="s">
        <v>427</v>
      </c>
      <c r="F80" s="4" t="s">
        <v>428</v>
      </c>
      <c r="G80" s="4" t="s">
        <v>429</v>
      </c>
      <c r="H80" s="4" t="s">
        <v>430</v>
      </c>
      <c r="I80" s="4" t="s">
        <v>431</v>
      </c>
      <c r="J80" s="4" t="s">
        <v>432</v>
      </c>
    </row>
    <row r="81" spans="2:10" x14ac:dyDescent="0.3">
      <c r="B81" s="4" t="s">
        <v>20</v>
      </c>
      <c r="C81" s="4" t="s">
        <v>433</v>
      </c>
      <c r="D81" s="4" t="s">
        <v>434</v>
      </c>
      <c r="E81" s="4" t="s">
        <v>435</v>
      </c>
      <c r="F81" s="4" t="s">
        <v>436</v>
      </c>
      <c r="G81" s="4" t="s">
        <v>437</v>
      </c>
      <c r="H81" s="4" t="s">
        <v>438</v>
      </c>
      <c r="I81" s="4" t="s">
        <v>439</v>
      </c>
      <c r="J81" s="4" t="s">
        <v>440</v>
      </c>
    </row>
    <row r="82" spans="2:10" x14ac:dyDescent="0.3">
      <c r="B82" s="4" t="s">
        <v>29</v>
      </c>
      <c r="C82" s="4" t="s">
        <v>441</v>
      </c>
      <c r="D82" s="4" t="s">
        <v>442</v>
      </c>
      <c r="E82" s="4" t="s">
        <v>443</v>
      </c>
      <c r="F82" s="4" t="s">
        <v>444</v>
      </c>
      <c r="G82" s="4" t="s">
        <v>445</v>
      </c>
      <c r="H82" s="4" t="s">
        <v>446</v>
      </c>
      <c r="I82" s="4" t="s">
        <v>447</v>
      </c>
      <c r="J82" s="4" t="s">
        <v>448</v>
      </c>
    </row>
    <row r="83" spans="2:10" x14ac:dyDescent="0.3">
      <c r="B83" s="4" t="s">
        <v>38</v>
      </c>
      <c r="C83" s="4" t="s">
        <v>449</v>
      </c>
      <c r="D83" s="4" t="s">
        <v>450</v>
      </c>
      <c r="E83" s="4" t="s">
        <v>451</v>
      </c>
      <c r="F83" s="4" t="s">
        <v>452</v>
      </c>
      <c r="G83" s="4" t="s">
        <v>453</v>
      </c>
      <c r="H83" s="4" t="s">
        <v>454</v>
      </c>
      <c r="I83" s="4" t="s">
        <v>455</v>
      </c>
      <c r="J83" s="4" t="s">
        <v>456</v>
      </c>
    </row>
    <row r="84" spans="2:10" x14ac:dyDescent="0.3">
      <c r="B84" s="4" t="s">
        <v>47</v>
      </c>
      <c r="C84" s="4" t="s">
        <v>457</v>
      </c>
      <c r="D84" s="4" t="s">
        <v>458</v>
      </c>
      <c r="E84" s="4" t="s">
        <v>459</v>
      </c>
      <c r="F84" s="4" t="s">
        <v>460</v>
      </c>
      <c r="G84" s="4" t="s">
        <v>461</v>
      </c>
      <c r="H84" s="4" t="s">
        <v>462</v>
      </c>
      <c r="I84" s="4" t="s">
        <v>463</v>
      </c>
      <c r="J84" s="4" t="s">
        <v>464</v>
      </c>
    </row>
    <row r="85" spans="2:10" x14ac:dyDescent="0.3">
      <c r="B85" s="4" t="s">
        <v>56</v>
      </c>
      <c r="C85" s="4" t="s">
        <v>465</v>
      </c>
      <c r="D85" s="4" t="s">
        <v>466</v>
      </c>
      <c r="E85" s="4" t="s">
        <v>467</v>
      </c>
      <c r="F85" s="4" t="s">
        <v>468</v>
      </c>
      <c r="G85" s="4" t="s">
        <v>469</v>
      </c>
      <c r="H85" s="4" t="s">
        <v>470</v>
      </c>
      <c r="I85" s="4" t="s">
        <v>471</v>
      </c>
      <c r="J85" s="4" t="s">
        <v>472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"/>
  <sheetViews>
    <sheetView workbookViewId="0">
      <selection activeCell="C5" sqref="C5"/>
    </sheetView>
  </sheetViews>
  <sheetFormatPr defaultRowHeight="14.4" x14ac:dyDescent="0.3"/>
  <cols>
    <col min="1" max="1" width="12.6640625" customWidth="1"/>
  </cols>
  <sheetData>
    <row r="1" spans="1:2" x14ac:dyDescent="0.3">
      <c r="A1" t="s">
        <v>473</v>
      </c>
      <c r="B1" t="s">
        <v>475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8</vt:i4>
      </vt:variant>
    </vt:vector>
  </HeadingPairs>
  <TitlesOfParts>
    <vt:vector size="11" baseType="lpstr">
      <vt:lpstr>Countries</vt:lpstr>
      <vt:lpstr>TickersSummary</vt:lpstr>
      <vt:lpstr>FileDirectory</vt:lpstr>
      <vt:lpstr>AUs</vt:lpstr>
      <vt:lpstr>CNs</vt:lpstr>
      <vt:lpstr>INs</vt:lpstr>
      <vt:lpstr>KRWs</vt:lpstr>
      <vt:lpstr>MYs</vt:lpstr>
      <vt:lpstr>SGs</vt:lpstr>
      <vt:lpstr>TWs</vt:lpstr>
      <vt:lpstr>USs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Luoying Li</dc:creator>
  <cp:lastModifiedBy>Luoying Li</cp:lastModifiedBy>
  <dcterms:created xsi:type="dcterms:W3CDTF">2017-10-09T03:06:31Z</dcterms:created>
  <dcterms:modified xsi:type="dcterms:W3CDTF">2017-10-11T03:30:54Z</dcterms:modified>
</cp:coreProperties>
</file>