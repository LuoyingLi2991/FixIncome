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Interest Rate Model\Update Database\"/>
    </mc:Choice>
  </mc:AlternateContent>
  <bookViews>
    <workbookView xWindow="0" yWindow="0" windowWidth="17256" windowHeight="5820"/>
  </bookViews>
  <sheets>
    <sheet name="Countries" sheetId="3" r:id="rId1"/>
    <sheet name="TickersSummary" sheetId="1" r:id="rId2"/>
    <sheet name="FileDirectory" sheetId="2" r:id="rId3"/>
  </sheets>
  <functionGroups builtInGroupCount="18">
    <functionGroup name="Bloomberg"/>
  </functionGroups>
  <definedNames>
    <definedName name="AUDs">TickersSummary!$B$78:$J$85</definedName>
    <definedName name="BRLs">TickersSummary!$B$220:$J$228</definedName>
    <definedName name="CNHs">TickersSummary!$B$45:$J$53</definedName>
    <definedName name="DEMs">TickersSummary!$B$148:$J$156</definedName>
    <definedName name="EONIAs">TickersSummary!$B$136:$J$144</definedName>
    <definedName name="EURs">TickersSummary!$B$124:$J$132</definedName>
    <definedName name="FRFs">TickersSummary!$B$160:$J$168</definedName>
    <definedName name="GBPs">TickersSummary!$B$172:$J$180</definedName>
    <definedName name="HKDs">TickersSummary!$B$89:$J$97</definedName>
    <definedName name="INRs">TickersSummary!$B$66:$J$74</definedName>
    <definedName name="ITLs">TickersSummary!$B$184:$J$192</definedName>
    <definedName name="KRWs">TickersSummary!$B$2:$J$9</definedName>
    <definedName name="MXNs">TickersSummary!$B$196:$J$204</definedName>
    <definedName name="MYRs">TickersSummary!$B$35:$J$42</definedName>
    <definedName name="NZDs">TickersSummary!$B$101:$J$108</definedName>
    <definedName name="SGDs">TickersSummary!$B$23:$J$31</definedName>
    <definedName name="THBs">TickersSummary!$B$112:$J$120</definedName>
    <definedName name="TWDs">TickersSummary!$B$57:$J$62</definedName>
    <definedName name="USDs">TickersSummary!$B$13:$J$20</definedName>
    <definedName name="ZARs">TickersSummary!$B$208:$J$216</definedName>
  </definedNames>
  <calcPr calcId="171027" concurrentCalc="0"/>
  <extLst>
    <ext xmlns:x14="http://schemas.microsoft.com/office/spreadsheetml/2009/9/main" uri="{8193D73E-4604-4355-AFF4-8A2333D13BE4}">
      <x14:definedNames>
        <x14:definedName name="Repair_Compact_DB">
          <x14:argumentDescriptions count="1">
            <x14:argumentDescription index="0">Positional argument 1</x14:argumentDescription>
          </x14:argumentDescriptions>
        </x14:definedName>
        <x14:definedName name="updateDB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UpdateElemen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20" i="1" l="1"/>
  <c r="I220" i="1"/>
  <c r="H220" i="1"/>
  <c r="G220" i="1"/>
  <c r="F220" i="1"/>
  <c r="E220" i="1"/>
  <c r="D220" i="1"/>
  <c r="C220" i="1"/>
  <c r="J208" i="1"/>
  <c r="I208" i="1"/>
  <c r="H208" i="1"/>
  <c r="G208" i="1"/>
  <c r="F208" i="1"/>
  <c r="E208" i="1"/>
  <c r="D208" i="1"/>
  <c r="C208" i="1"/>
  <c r="J196" i="1"/>
  <c r="I196" i="1"/>
  <c r="H196" i="1"/>
  <c r="G196" i="1"/>
  <c r="F196" i="1"/>
  <c r="E196" i="1"/>
  <c r="D196" i="1"/>
  <c r="C196" i="1"/>
  <c r="J184" i="1"/>
  <c r="I184" i="1"/>
  <c r="H184" i="1"/>
  <c r="G184" i="1"/>
  <c r="F184" i="1"/>
  <c r="E184" i="1"/>
  <c r="D184" i="1"/>
  <c r="C184" i="1"/>
  <c r="J172" i="1"/>
  <c r="I172" i="1"/>
  <c r="H172" i="1"/>
  <c r="G172" i="1"/>
  <c r="F172" i="1"/>
  <c r="E172" i="1"/>
  <c r="D172" i="1"/>
  <c r="C172" i="1"/>
  <c r="J160" i="1"/>
  <c r="I160" i="1"/>
  <c r="H160" i="1"/>
  <c r="G160" i="1"/>
  <c r="F160" i="1"/>
  <c r="E160" i="1"/>
  <c r="D160" i="1"/>
  <c r="C160" i="1"/>
  <c r="J148" i="1"/>
  <c r="I148" i="1"/>
  <c r="H148" i="1"/>
  <c r="G148" i="1"/>
  <c r="F148" i="1"/>
  <c r="E148" i="1"/>
  <c r="D148" i="1"/>
  <c r="C148" i="1"/>
  <c r="J136" i="1"/>
  <c r="I136" i="1"/>
  <c r="H136" i="1"/>
  <c r="G136" i="1"/>
  <c r="F136" i="1"/>
  <c r="E136" i="1"/>
  <c r="D136" i="1"/>
  <c r="C136" i="1"/>
  <c r="J124" i="1"/>
  <c r="I124" i="1"/>
  <c r="H124" i="1"/>
  <c r="G124" i="1"/>
  <c r="F124" i="1"/>
  <c r="E124" i="1"/>
  <c r="D124" i="1"/>
  <c r="C124" i="1"/>
  <c r="J112" i="1"/>
  <c r="I112" i="1"/>
  <c r="H112" i="1"/>
  <c r="G112" i="1"/>
  <c r="F112" i="1"/>
  <c r="E112" i="1"/>
  <c r="D112" i="1"/>
  <c r="C112" i="1"/>
  <c r="J101" i="1"/>
  <c r="I101" i="1"/>
  <c r="H101" i="1"/>
  <c r="G101" i="1"/>
  <c r="F101" i="1"/>
  <c r="E101" i="1"/>
  <c r="D101" i="1"/>
  <c r="C101" i="1"/>
  <c r="J89" i="1"/>
  <c r="I89" i="1"/>
  <c r="H89" i="1"/>
  <c r="G89" i="1"/>
  <c r="F89" i="1"/>
  <c r="E89" i="1"/>
  <c r="D89" i="1"/>
  <c r="C89" i="1"/>
  <c r="A2" i="3"/>
  <c r="J78" i="1"/>
  <c r="I78" i="1"/>
  <c r="H78" i="1"/>
  <c r="G78" i="1"/>
  <c r="F78" i="1"/>
  <c r="E78" i="1"/>
  <c r="D78" i="1"/>
  <c r="C78" i="1"/>
  <c r="J66" i="1"/>
  <c r="I66" i="1"/>
  <c r="H66" i="1"/>
  <c r="G66" i="1"/>
  <c r="F66" i="1"/>
  <c r="E66" i="1"/>
  <c r="D66" i="1"/>
  <c r="C66" i="1"/>
  <c r="J57" i="1"/>
  <c r="I57" i="1"/>
  <c r="H57" i="1"/>
  <c r="G57" i="1"/>
  <c r="F57" i="1"/>
  <c r="E57" i="1"/>
  <c r="D57" i="1"/>
  <c r="C57" i="1"/>
  <c r="J45" i="1"/>
  <c r="I45" i="1"/>
  <c r="H45" i="1"/>
  <c r="G45" i="1"/>
  <c r="F45" i="1"/>
  <c r="E45" i="1"/>
  <c r="D45" i="1"/>
  <c r="C45" i="1"/>
  <c r="J35" i="1"/>
  <c r="I35" i="1"/>
  <c r="H35" i="1"/>
  <c r="G35" i="1"/>
  <c r="F35" i="1"/>
  <c r="E35" i="1"/>
  <c r="D35" i="1"/>
  <c r="C35" i="1"/>
  <c r="J23" i="1"/>
  <c r="I23" i="1"/>
  <c r="H23" i="1"/>
  <c r="G23" i="1"/>
  <c r="F23" i="1"/>
  <c r="E23" i="1"/>
  <c r="D23" i="1"/>
  <c r="C23" i="1"/>
  <c r="J13" i="1"/>
  <c r="I13" i="1"/>
  <c r="H13" i="1"/>
  <c r="G13" i="1"/>
  <c r="F13" i="1"/>
  <c r="E13" i="1"/>
  <c r="D13" i="1"/>
  <c r="C13" i="1"/>
  <c r="J2" i="1"/>
  <c r="I2" i="1"/>
  <c r="H2" i="1"/>
  <c r="G2" i="1"/>
  <c r="F2" i="1"/>
  <c r="E2" i="1"/>
  <c r="D2" i="1"/>
  <c r="C2" i="1"/>
</calcChain>
</file>

<file path=xl/sharedStrings.xml><?xml version="1.0" encoding="utf-8"?>
<sst xmlns="http://schemas.openxmlformats.org/spreadsheetml/2006/main" count="1412" uniqueCount="1248">
  <si>
    <t>StartD</t>
  </si>
  <si>
    <t>KRW</t>
  </si>
  <si>
    <t>3m</t>
  </si>
  <si>
    <t>KWSWC CMPN Curncy</t>
  </si>
  <si>
    <t>S0205FS 3M3M BLC Curncy</t>
  </si>
  <si>
    <t>S0205FS 6M3M BLC Curncy</t>
  </si>
  <si>
    <t>S0205FS 1Y3M BLC Curncy</t>
  </si>
  <si>
    <t>S0205FS 2Y3M BLC Curncy</t>
  </si>
  <si>
    <t>S0205FS 3Y3M BLC Curncy</t>
  </si>
  <si>
    <t>S0205FS 4Y3M BLC Curncy</t>
  </si>
  <si>
    <t>S0205FS 5Y3M BLC Curncy</t>
  </si>
  <si>
    <t>1y</t>
  </si>
  <si>
    <t>KWSWNI1 CMPN Curncy</t>
  </si>
  <si>
    <t>S0205FS 3M1Y BLC Curncy</t>
  </si>
  <si>
    <t>S0205FS 6M1Y BLC Curncy</t>
  </si>
  <si>
    <t>S0205FS 1Y1Y BLC Curncy</t>
  </si>
  <si>
    <t>S0205FS 2Y1Y BLC Curncy</t>
  </si>
  <si>
    <t>S0205FS 3Y1Y BLC Curncy</t>
  </si>
  <si>
    <t>S0205FS 4Y1Y BLC Curncy</t>
  </si>
  <si>
    <t>S0205FS 5Y1Y BLC Curncy</t>
  </si>
  <si>
    <t>2y</t>
  </si>
  <si>
    <t>KWSWNI2 CMPN Curncy</t>
  </si>
  <si>
    <t>S0205FS 3M2Y BLC Curncy</t>
  </si>
  <si>
    <t>S0205FS 6M2Y BLC Curncy</t>
  </si>
  <si>
    <t>S0205FS 1Y2Y BLC Curncy</t>
  </si>
  <si>
    <t>S0205FS 2Y2Y BLC Curncy</t>
  </si>
  <si>
    <t>S0205FS 3Y2Y BLC Curncy</t>
  </si>
  <si>
    <t>S0205FS 4Y2Y BLC Curncy</t>
  </si>
  <si>
    <t>S0205FS 5Y2Y BLC Curncy</t>
  </si>
  <si>
    <t>3y</t>
  </si>
  <si>
    <t>KWSWNI3 CMPN Curncy</t>
  </si>
  <si>
    <t>S0205FS 3M3Y BLC Curncy</t>
  </si>
  <si>
    <t>S0205FS 6M3Y BLC Curncy</t>
  </si>
  <si>
    <t>S0205FS 1Y3Y BLC Curncy</t>
  </si>
  <si>
    <t>S0205FS 2Y3Y BLC Curncy</t>
  </si>
  <si>
    <t>S0205FS 3Y3Y BLC Curncy</t>
  </si>
  <si>
    <t>S0205FS 4Y3Y BLC Curncy</t>
  </si>
  <si>
    <t>S0205FS 5Y3Y BLC Curncy</t>
  </si>
  <si>
    <t>4y</t>
  </si>
  <si>
    <t>KWSWNI4 CMPN Curncy</t>
  </si>
  <si>
    <t>S0205FS 3M4Y BLC Curncy</t>
  </si>
  <si>
    <t>S0205FS 6M4Y BLC Curncy</t>
  </si>
  <si>
    <t>S0205FS 1Y4Y BLC Curncy</t>
  </si>
  <si>
    <t>S0205FS 2Y4Y BLC Curncy</t>
  </si>
  <si>
    <t>S0205FS 3Y4Y BLC Curncy</t>
  </si>
  <si>
    <t>S0205FS 4Y4Y BLC Curncy</t>
  </si>
  <si>
    <t>S0205FS 5Y4Y BLC Curncy</t>
  </si>
  <si>
    <t>5y</t>
  </si>
  <si>
    <t>KWSWNI5 CMPN Curncy</t>
  </si>
  <si>
    <t>S0205FS 3M5Y BLC Curncy</t>
  </si>
  <si>
    <t>S0205FS 6M5Y BLC Curncy</t>
  </si>
  <si>
    <t>S0205FS 1Y5Y BLC Curncy</t>
  </si>
  <si>
    <t>S0205FS 2Y5Y BLC Curncy</t>
  </si>
  <si>
    <t>S0205FS 3Y5Y BLC Curncy</t>
  </si>
  <si>
    <t>S0205FS 4Y5Y BLC Curncy</t>
  </si>
  <si>
    <t>S0205FS 5Y5Y BLC Curncy</t>
  </si>
  <si>
    <t>10y</t>
  </si>
  <si>
    <t>KWSWNI10 CMPN Curncy</t>
  </si>
  <si>
    <t>S0205FS 3M10Y BLC Curncy</t>
  </si>
  <si>
    <t>S0205FS 6M10Y BLC Curncy</t>
  </si>
  <si>
    <t>S0205FS 1Y10Y BLC Curncy</t>
  </si>
  <si>
    <t>S0205FS 2Y10Y BLC Curncy</t>
  </si>
  <si>
    <t>S0205FS 3Y10Y BLC Curncy</t>
  </si>
  <si>
    <t>S0205FS 4Y10Y BLC Curncy</t>
  </si>
  <si>
    <t>S0205FS 5Y10Y BLC Curncy</t>
  </si>
  <si>
    <t>USSWC CMPN Curncy</t>
  </si>
  <si>
    <t>USFS0CC  BLC Curncy</t>
  </si>
  <si>
    <t>USFS0FC  BLC Curncy</t>
  </si>
  <si>
    <t>USFS01C  BLC Curncy</t>
  </si>
  <si>
    <t>USFS02C  BLC Curncy</t>
  </si>
  <si>
    <t>USFS03C  BLC Curncy</t>
  </si>
  <si>
    <t>USFS04C  BLC Curncy</t>
  </si>
  <si>
    <t>USFS05C  BLC Curncy</t>
  </si>
  <si>
    <t>6m</t>
  </si>
  <si>
    <t>USSWF CMPN Curncy</t>
  </si>
  <si>
    <t>USFS0CF  BLC Curncy</t>
  </si>
  <si>
    <t>USFS0FF  BLC Curncy</t>
  </si>
  <si>
    <t>USFS01F  BLC Curncy</t>
  </si>
  <si>
    <t>USFS02F  BLC Curncy</t>
  </si>
  <si>
    <t>USFS03F  BLC Curncy</t>
  </si>
  <si>
    <t>USFS04F  BLC Curncy</t>
  </si>
  <si>
    <t>USFS05F  BLC Curncy</t>
  </si>
  <si>
    <t>USSWAP1 CMPN Curncy</t>
  </si>
  <si>
    <t>USFS0C1  BLC Curncy</t>
  </si>
  <si>
    <t>USFS0F1  BLC Curncy</t>
  </si>
  <si>
    <t>USFS011  BLC Curncy</t>
  </si>
  <si>
    <t>USFS021  BLC Curncy</t>
  </si>
  <si>
    <t>USFS031  BLC Curncy</t>
  </si>
  <si>
    <t>USFS041  BLC Curncy</t>
  </si>
  <si>
    <t>USFS051  BLC Curncy</t>
  </si>
  <si>
    <t>USSWAP2  CMPN Curncy</t>
  </si>
  <si>
    <t>USFS0C2  BLC Curncy</t>
  </si>
  <si>
    <t>USFS0F2  BLC Curncy</t>
  </si>
  <si>
    <t>USFS012  BLC Curncy</t>
  </si>
  <si>
    <t>USFS022  BLC Curncy</t>
  </si>
  <si>
    <t>USFS032  BLC Curncy</t>
  </si>
  <si>
    <t>USFS042  BLC Curncy</t>
  </si>
  <si>
    <t>USFS052  BLC Curncy</t>
  </si>
  <si>
    <t>USSWAP3  CMPN Curncy</t>
  </si>
  <si>
    <t>USFS0C3  BLC Curncy</t>
  </si>
  <si>
    <t>USFS0F3  BLC Curncy</t>
  </si>
  <si>
    <t>USFS013  BLC Curncy</t>
  </si>
  <si>
    <t>USFS023  BLC Curncy</t>
  </si>
  <si>
    <t>USFS033  BLC Curncy</t>
  </si>
  <si>
    <t>USFS043  BLC Curncy</t>
  </si>
  <si>
    <t>USFS053  BLC Curncy</t>
  </si>
  <si>
    <t>USSWAP5  CMPN Curncy</t>
  </si>
  <si>
    <t>USFS0C5  BLC Curncy</t>
  </si>
  <si>
    <t>USFS0F5  BLC Curncy</t>
  </si>
  <si>
    <t>USFS015  BLC Curncy</t>
  </si>
  <si>
    <t>USFS025  BLC Curncy</t>
  </si>
  <si>
    <t>USFS035  BLC Curncy</t>
  </si>
  <si>
    <t>USFS045  BLC Curncy</t>
  </si>
  <si>
    <t>USFS055  BLC Curncy</t>
  </si>
  <si>
    <t>USSWAP10 CMPN Curncy</t>
  </si>
  <si>
    <t>USFS0C10 BLC Curncy</t>
  </si>
  <si>
    <t>USFS0F10 BLC Curncy</t>
  </si>
  <si>
    <t>USFS0110 BLC Curncy</t>
  </si>
  <si>
    <t>USFS0210 BLC Curncy</t>
  </si>
  <si>
    <t>USFS0310 BLC Curncy</t>
  </si>
  <si>
    <t>USFS0410 BLC Curncy</t>
  </si>
  <si>
    <t>USFS0510 BLC Curncy</t>
  </si>
  <si>
    <t>SDSWC CMPN Curncy</t>
  </si>
  <si>
    <t>SDFS0C0C BLC Curncy</t>
  </si>
  <si>
    <t>SDFS0F0C BLC Curncy</t>
  </si>
  <si>
    <t>SDFS010C BLC Curncy</t>
  </si>
  <si>
    <t>SDFS020C BLC Curncy</t>
  </si>
  <si>
    <t>SDFS030C BLC Curncy</t>
  </si>
  <si>
    <t>SDFS040C BLC Curncy</t>
  </si>
  <si>
    <t>SDFS050C BLC Curncy</t>
  </si>
  <si>
    <t>SDSWF CMPN Curncy</t>
  </si>
  <si>
    <t>SDFS0C0F BLC Curncy</t>
  </si>
  <si>
    <t>SDFS0F0F BLC Curncy</t>
  </si>
  <si>
    <t>SDFS010F BLC Curncy</t>
  </si>
  <si>
    <t>SDFS020F BLC Curncy</t>
  </si>
  <si>
    <t>SDFS030F BLC Curncy</t>
  </si>
  <si>
    <t>SDFS040F BLC Curncy</t>
  </si>
  <si>
    <t>SDFS050F BLC Curncy</t>
  </si>
  <si>
    <t>SDSW1    CMPN Curncy</t>
  </si>
  <si>
    <t>SDFS0C01 BLC Curncy</t>
  </si>
  <si>
    <t>SDFS0F01 BLC Curncy</t>
  </si>
  <si>
    <t>SDFS0101 BLC Curncy</t>
  </si>
  <si>
    <t>SDFS0201 BLC Curncy</t>
  </si>
  <si>
    <t>SDFS0301 BLC Curncy</t>
  </si>
  <si>
    <t>SDFS0401 BLC Curncy</t>
  </si>
  <si>
    <t>SDFS0501 BLC Curncy</t>
  </si>
  <si>
    <t>SDSW2    CMPN Curncy</t>
  </si>
  <si>
    <t>SDFS0C02 BLC Curncy</t>
  </si>
  <si>
    <t>SDFS0F02 BLC Curncy</t>
  </si>
  <si>
    <t>SDFS0102 BLC Curncy</t>
  </si>
  <si>
    <t>SDFS0202 BLC Curncy</t>
  </si>
  <si>
    <t>SDFS0302 BLC Curncy</t>
  </si>
  <si>
    <t>SDFS0402 BLC Curncy</t>
  </si>
  <si>
    <t>SDFS0502 BLC Curncy</t>
  </si>
  <si>
    <t>SDSW3    CMPN Curncy</t>
  </si>
  <si>
    <t>SDFS0C03 BLC Curncy</t>
  </si>
  <si>
    <t>SDFS0F03 BLC Curncy</t>
  </si>
  <si>
    <t>SDFS0103 BLC Curncy</t>
  </si>
  <si>
    <t>SDFS0203 BLC Curncy</t>
  </si>
  <si>
    <t>SDFS0303 BLC Curncy</t>
  </si>
  <si>
    <t>SDFS0403 BLC Curncy</t>
  </si>
  <si>
    <t>SDFS0503 BLC Curncy</t>
  </si>
  <si>
    <t>SDSW4    CMPN Curncy</t>
  </si>
  <si>
    <t>SDFS0C04 BLC Curncy</t>
  </si>
  <si>
    <t>SDFS0F04 BLC Curncy</t>
  </si>
  <si>
    <t>SDFS0104 BLC Curncy</t>
  </si>
  <si>
    <t>SDFS0204 BLC Curncy</t>
  </si>
  <si>
    <t>SDFS0304 BLC Curncy</t>
  </si>
  <si>
    <t>SDFS0404 BLC Curncy</t>
  </si>
  <si>
    <t>SDFS0504 BLC Curncy</t>
  </si>
  <si>
    <t>SDSW5    CMPN Curncy</t>
  </si>
  <si>
    <t>SDFS0C05 BLC Curncy</t>
  </si>
  <si>
    <t>SDFS0F05 BLC Curncy</t>
  </si>
  <si>
    <t>SDFS0105 BLC Curncy</t>
  </si>
  <si>
    <t>SDFS0205 BLC Curncy</t>
  </si>
  <si>
    <t>SDFS0305 BLC Curncy</t>
  </si>
  <si>
    <t>SDFS0405 BLC Curncy</t>
  </si>
  <si>
    <t>SDFS0505 BLC Curncy</t>
  </si>
  <si>
    <t>SDSW10   CMPN Curncy</t>
  </si>
  <si>
    <t>SDFS0C10 BLC Curncy</t>
  </si>
  <si>
    <t>SDFS0F10 BLC Curncy</t>
  </si>
  <si>
    <t>SDFS0110 BLC Curncy</t>
  </si>
  <si>
    <t>SDFS0210 BLC Curncy</t>
  </si>
  <si>
    <t>SDFS0310 BLC Curncy</t>
  </si>
  <si>
    <t>SDFS0410 BLC Curncy</t>
  </si>
  <si>
    <t>SDFS0510 BLC Curncy</t>
  </si>
  <si>
    <t>MRSWC CMPN Curncy</t>
  </si>
  <si>
    <t>S0209FS 3M3M BLC Curncy</t>
  </si>
  <si>
    <t>S0209FS 6M3M BLC Curncy</t>
  </si>
  <si>
    <t>S0209FS 1Y3M BLC Curncy</t>
  </si>
  <si>
    <t>S0209FS 2Y3M BLC Curncy</t>
  </si>
  <si>
    <t>S0209FS 3Y3M BLC Curncy</t>
  </si>
  <si>
    <t>S0209FS 4Y3M BLC Curncy</t>
  </si>
  <si>
    <t>S0209FS 5Y3M BLC Curncy</t>
  </si>
  <si>
    <t>MRSWNIF  CMPN Curncy</t>
  </si>
  <si>
    <t>S0209FS 3M6M BLC Curncy</t>
  </si>
  <si>
    <t>S0209FS 6M6M BLC Curncy</t>
  </si>
  <si>
    <t>S0209FS 1Y6M BLC Curncy</t>
  </si>
  <si>
    <t>S0209FS 2Y6M BLC Curncy</t>
  </si>
  <si>
    <t>S0209FS 3Y6M BLC Curncy</t>
  </si>
  <si>
    <t>S0209FS 4Y6M BLC Curncy</t>
  </si>
  <si>
    <t>S0209FS 5Y6M BLC Curncy</t>
  </si>
  <si>
    <t>MRSWNI1  CMPN Curncy</t>
  </si>
  <si>
    <t>S0209FS 3M1Y BLC Curncy</t>
  </si>
  <si>
    <t>S0209FS 6M1Y BLC Curncy</t>
  </si>
  <si>
    <t>S0209FS 1Y1Y BLC Curncy</t>
  </si>
  <si>
    <t>S0209FS 2Y1Y BLC Curncy</t>
  </si>
  <si>
    <t>S0209FS 3Y1Y BLC Curncy</t>
  </si>
  <si>
    <t>S0209FS 4Y1Y BLC Curncy</t>
  </si>
  <si>
    <t>S0209FS 5Y1Y BLC Curncy</t>
  </si>
  <si>
    <t>MRSWNI2  CMPN Curncy</t>
  </si>
  <si>
    <t>S0209FS 3M2Y BLC Curncy</t>
  </si>
  <si>
    <t>S0209FS 6M2Y BLC Curncy</t>
  </si>
  <si>
    <t>S0209FS 1Y2Y BLC Curncy</t>
  </si>
  <si>
    <t>S0209FS 2Y2Y BLC Curncy</t>
  </si>
  <si>
    <t>S0209FS 3Y2Y BLC Curncy</t>
  </si>
  <si>
    <t>S0209FS 4Y2Y BLC Curncy</t>
  </si>
  <si>
    <t>S0209FS 5Y2Y BLC Curncy</t>
  </si>
  <si>
    <t>MRSWNI3  CMPN Curncy</t>
  </si>
  <si>
    <t>S0209FS 3M3Y BLC Curncy</t>
  </si>
  <si>
    <t>S0209FS 6M3Y BLC Curncy</t>
  </si>
  <si>
    <t>S0209FS 1Y3Y BLC Curncy</t>
  </si>
  <si>
    <t>S0209FS 2Y3Y BLC Curncy</t>
  </si>
  <si>
    <t>S0209FS 3Y3Y BLC Curncy</t>
  </si>
  <si>
    <t>S0209FS 4Y3Y BLC Curncy</t>
  </si>
  <si>
    <t>S0209FS 5Y3Y BLC Curncy</t>
  </si>
  <si>
    <t>MRSWNI5  CMPN Curncy</t>
  </si>
  <si>
    <t>S0209FS 3M5Y BLC Curncy</t>
  </si>
  <si>
    <t>S0209FS 6M5Y BLC Curncy</t>
  </si>
  <si>
    <t>S0209FS 1Y5Y BLC Curncy</t>
  </si>
  <si>
    <t>S0209FS 2Y5Y BLC Curncy</t>
  </si>
  <si>
    <t>S0209FS 3Y5Y BLC Curncy</t>
  </si>
  <si>
    <t>S0209FS 4Y5Y BLC Curncy</t>
  </si>
  <si>
    <t>S0209FS 5Y5Y BLC Curncy</t>
  </si>
  <si>
    <t>MRSWNI10 CMPN Curncy</t>
  </si>
  <si>
    <t>S0209FS 3M10Y BLC Curncy</t>
  </si>
  <si>
    <t>S0209FS 6M10Y BLC Curncy</t>
  </si>
  <si>
    <t>S0209FS 1Y10Y BLC Curncy</t>
  </si>
  <si>
    <t>S0209FS 2Y10Y BLC Curncy</t>
  </si>
  <si>
    <t>S0209FS 3Y10Y BLC Curncy</t>
  </si>
  <si>
    <t>S0209FS 4Y10Y BLC Curncy</t>
  </si>
  <si>
    <t>S0209FS 5Y10Y BLC Curncy</t>
  </si>
  <si>
    <t>CCSWC CMPN Curncy</t>
  </si>
  <si>
    <t>S0204FS 3M3M BLC Curncy</t>
  </si>
  <si>
    <t>S0204FS 6M3M BLC Curncy</t>
  </si>
  <si>
    <t>S0204FS 1Y3M BLC Curncy</t>
  </si>
  <si>
    <t>S0204FS 2Y3M BLC Curncy</t>
  </si>
  <si>
    <t>S0204FS 3Y3M BLC Curncy</t>
  </si>
  <si>
    <t>S0204FS 4Y3M BLC Curncy</t>
  </si>
  <si>
    <t>S0204FS 5Y3M BLC Curncy</t>
  </si>
  <si>
    <t>CCSWF CMPN Curncy</t>
  </si>
  <si>
    <t>S0204FS 3M6M BLC Curncy</t>
  </si>
  <si>
    <t>S0204FS 6M6M BLC Curncy</t>
  </si>
  <si>
    <t>S0204FS 1Y6M BLC Curncy</t>
  </si>
  <si>
    <t>S0204FS 2Y6M BLC Curncy</t>
  </si>
  <si>
    <t>S0204FS 3Y6M BLC Curncy</t>
  </si>
  <si>
    <t>S0204FS 4Y6M BLC Curncy</t>
  </si>
  <si>
    <t>S0204FS 5Y6M BLC Curncy</t>
  </si>
  <si>
    <t>CCSWNI1  CMPN Curncy</t>
  </si>
  <si>
    <t>S0204FS 3M1Y BLC Curncy</t>
  </si>
  <si>
    <t>S0204FS 6M1Y BLC Curncy</t>
  </si>
  <si>
    <t>S0204FS 1Y1Y BLC Curncy</t>
  </si>
  <si>
    <t>S0204FS 2Y1Y BLC Curncy</t>
  </si>
  <si>
    <t>S0204FS 3Y1Y BLC Curncy</t>
  </si>
  <si>
    <t>S0204FS 4Y1Y BLC Curncy</t>
  </si>
  <si>
    <t>S0204FS 5Y1Y BLC Curncy</t>
  </si>
  <si>
    <t>CCSWNI2  CMPN Curncy</t>
  </si>
  <si>
    <t>S0204FS 3M2Y BLC Curncy</t>
  </si>
  <si>
    <t>S0204FS 6M2Y BLC Curncy</t>
  </si>
  <si>
    <t>S0204FS 1Y2Y BLC Curncy</t>
  </si>
  <si>
    <t>S0204FS 2Y2Y BLC Curncy</t>
  </si>
  <si>
    <t>S0204FS 3Y2Y BLC Curncy</t>
  </si>
  <si>
    <t>S0204FS 4Y2Y BLC Curncy</t>
  </si>
  <si>
    <t>S0204FS 5Y2Y BLC Curncy</t>
  </si>
  <si>
    <t>CCSWNI3  CMPN Curncy</t>
  </si>
  <si>
    <t>S0204FS 3M3Y BLC Curncy</t>
  </si>
  <si>
    <t>S0204FS 6M3Y BLC Curncy</t>
  </si>
  <si>
    <t>S0204FS 1Y3Y BLC Curncy</t>
  </si>
  <si>
    <t>S0204FS 2Y3Y BLC Curncy</t>
  </si>
  <si>
    <t>S0204FS 3Y3Y BLC Curncy</t>
  </si>
  <si>
    <t>S0204FS 4Y3Y BLC Curncy</t>
  </si>
  <si>
    <t>S0204FS 5Y3Y BLC Curncy</t>
  </si>
  <si>
    <t>CCSWNI4  CMPN Curncy</t>
  </si>
  <si>
    <t>S0204FS 3M4Y BLC Curncy</t>
  </si>
  <si>
    <t>S0204FS 6M4Y BLC Curncy</t>
  </si>
  <si>
    <t>S0204FS 1Y4Y BLC Curncy</t>
  </si>
  <si>
    <t>S0204FS 2Y4Y BLC Curncy</t>
  </si>
  <si>
    <t>S0204FS 3Y4Y BLC Curncy</t>
  </si>
  <si>
    <t>S0204FS 4Y4Y BLC Curncy</t>
  </si>
  <si>
    <t>S0204FS 5Y4Y BLC Curncy</t>
  </si>
  <si>
    <t>CCSWNI5  CMPN Curncy</t>
  </si>
  <si>
    <t>S0204FS 3M5Y BLC Curncy</t>
  </si>
  <si>
    <t>S0204FS 6M5Y BLC Curncy</t>
  </si>
  <si>
    <t>S0204FS 1Y5Y BLC Curncy</t>
  </si>
  <si>
    <t>S0204FS 2Y5Y BLC Curncy</t>
  </si>
  <si>
    <t>S0204FS 3Y5Y BLC Curncy</t>
  </si>
  <si>
    <t>S0204FS 4Y5Y BLC Curncy</t>
  </si>
  <si>
    <t>S0204FS 5Y5Y BLC Curncy</t>
  </si>
  <si>
    <t>CCSWNI10 CMPN Curncy</t>
  </si>
  <si>
    <t>S0204FS 3M10Y BLC Curncy</t>
  </si>
  <si>
    <t>S0204FS 6M10Y BLC Curncy</t>
  </si>
  <si>
    <t>S0204FS 1Y10Y BLC Curncy</t>
  </si>
  <si>
    <t>S0204FS 2Y10Y BLC Curncy</t>
  </si>
  <si>
    <t>S0204FS 3Y10Y BLC Curncy</t>
  </si>
  <si>
    <t>S0204FS 4Y10Y BLC Curncy</t>
  </si>
  <si>
    <t>S0204FS 5Y10Y BLC Curncy</t>
  </si>
  <si>
    <t>TRSWC CMPN Curncy</t>
  </si>
  <si>
    <t>S0203FS 3M3M BLC Curncy</t>
  </si>
  <si>
    <t>S0203FS 6M3M BLC Curncy</t>
  </si>
  <si>
    <t>S0203FS 1Y3M BLC Curncy</t>
  </si>
  <si>
    <t>S0203FS 2Y3M BLC Curncy</t>
  </si>
  <si>
    <t>S0203FS 3Y3M BLC Curncy</t>
  </si>
  <si>
    <t>S0203FS 4Y3M BLC Curncy</t>
  </si>
  <si>
    <t>S0203FS 5Y3M BLC Curncy</t>
  </si>
  <si>
    <t>TRSWF CMPN Curncy</t>
  </si>
  <si>
    <t>S0203FS 3M6M BLC Curncy</t>
  </si>
  <si>
    <t>S0203FS 6M6M BLC Curncy</t>
  </si>
  <si>
    <t>S0203FS 1Y6M BLC Curncy</t>
  </si>
  <si>
    <t>S0203FS 2Y6M BLC Curncy</t>
  </si>
  <si>
    <t>S0203FS 3Y6M BLC Curncy</t>
  </si>
  <si>
    <t>S0203FS 4Y6M BLC Curncy</t>
  </si>
  <si>
    <t>S0203FS 5Y6M BLC Curncy</t>
  </si>
  <si>
    <t>TDSWNI3  CMPN Curncy</t>
  </si>
  <si>
    <t>S0203FS 3M3Y BLC Curncy</t>
  </si>
  <si>
    <t>S0203FS 6M3Y BLC Curncy</t>
  </si>
  <si>
    <t>S0203FS 1Y3Y BLC Curncy</t>
  </si>
  <si>
    <t>S0203FS 2Y3Y BLC Curncy</t>
  </si>
  <si>
    <t>S0203FS 3Y3Y BLC Curncy</t>
  </si>
  <si>
    <t>S0203FS 4Y3Y BLC Curncy</t>
  </si>
  <si>
    <t>S0203FS 5Y3Y BLC Curncy</t>
  </si>
  <si>
    <t>TDSWNI5  CMPN Curncy</t>
  </si>
  <si>
    <t>S0203FS 3M5Y BLC Curncy</t>
  </si>
  <si>
    <t>S0203FS 6M5Y BLC Curncy</t>
  </si>
  <si>
    <t>S0203FS 1Y5Y BLC Curncy</t>
  </si>
  <si>
    <t>S0203FS 2Y5Y BLC Curncy</t>
  </si>
  <si>
    <t>S0203FS 3Y5Y BLC Curncy</t>
  </si>
  <si>
    <t>S0203FS 4Y5Y BLC Curncy</t>
  </si>
  <si>
    <t>S0203FS 5Y5Y BLC Curncy</t>
  </si>
  <si>
    <t>TDSWNI10 CMPN Curncy</t>
  </si>
  <si>
    <t>S0203FS 3M10Y BLC Curncy</t>
  </si>
  <si>
    <t>S0203FS 6M10Y BLC Curncy</t>
  </si>
  <si>
    <t>S0203FS 1Y10Y BLC Curncy</t>
  </si>
  <si>
    <t>S0203FS 2Y10Y BLC Curncy</t>
  </si>
  <si>
    <t>S0203FS 3Y10Y BLC Curncy</t>
  </si>
  <si>
    <t>S0203FS 4Y10Y BLC Curncy</t>
  </si>
  <si>
    <t>S0203FS 5Y10Y BLC Curncy</t>
  </si>
  <si>
    <t>IRSWNIC  CMPN Curncy</t>
  </si>
  <si>
    <t>S0266FS 3M3M BLC Curncy</t>
  </si>
  <si>
    <t>S0266FS 6M3M BLC Curncy</t>
  </si>
  <si>
    <t>S0266FS 1Y3M BLC Curncy</t>
  </si>
  <si>
    <t>S0266FS 2Y3M BLC Curncy</t>
  </si>
  <si>
    <t>S0266FS 3Y3M BLC Curncy</t>
  </si>
  <si>
    <t>S0266FS 4Y3M BLC Curncy</t>
  </si>
  <si>
    <t>S0266FS 5Y3M BLC Curncy</t>
  </si>
  <si>
    <t>IRSWNIF  CMPN Curncy</t>
  </si>
  <si>
    <t>S0266FS 3M6M BLC Curncy</t>
  </si>
  <si>
    <t>S0266FS 6M6M BLC Curncy</t>
  </si>
  <si>
    <t>S0266FS 1Y6M BLC Curncy</t>
  </si>
  <si>
    <t>S0266FS 2Y6M BLC Curncy</t>
  </si>
  <si>
    <t>S0266FS 3Y6M BLC Curncy</t>
  </si>
  <si>
    <t>S0266FS 4Y6M BLC Curncy</t>
  </si>
  <si>
    <t>S0266FS 5Y6M BLC Curncy</t>
  </si>
  <si>
    <t>IRSWNI1  CMPN Curncy</t>
  </si>
  <si>
    <t>S0266FS 3M1Y BLC Curncy</t>
  </si>
  <si>
    <t>S0266FS 6M1Y BLC Curncy</t>
  </si>
  <si>
    <t>S0266FS 1Y1Y BLC Curncy</t>
  </si>
  <si>
    <t>S0266FS 2Y1Y BLC Curncy</t>
  </si>
  <si>
    <t>S0266FS 3Y1Y BLC Curncy</t>
  </si>
  <si>
    <t>S0266FS 4Y1Y BLC Curncy</t>
  </si>
  <si>
    <t>S0266FS 5Y1Y BLC Curncy</t>
  </si>
  <si>
    <t>IRSWNI2  CMPN Curncy</t>
  </si>
  <si>
    <t>S0266FS 3M2Y BLC Curncy</t>
  </si>
  <si>
    <t>S0266FS 6M2Y BLC Curncy</t>
  </si>
  <si>
    <t>S0266FS 1Y2Y BLC Curncy</t>
  </si>
  <si>
    <t>S0266FS 2Y2Y BLC Curncy</t>
  </si>
  <si>
    <t>S0266FS 3Y2Y BLC Curncy</t>
  </si>
  <si>
    <t>S0266FS 4Y2Y BLC Curncy</t>
  </si>
  <si>
    <t>S0266FS 5Y2Y BLC Curncy</t>
  </si>
  <si>
    <t>IRSWNI3  CMPN Curncy</t>
  </si>
  <si>
    <t>S0266FS 3M3Y BLC Curncy</t>
  </si>
  <si>
    <t>S0266FS 6M3Y BLC Curncy</t>
  </si>
  <si>
    <t>S0266FS 1Y3Y BLC Curncy</t>
  </si>
  <si>
    <t>S0266FS 2Y3Y BLC Curncy</t>
  </si>
  <si>
    <t>S0266FS 3Y3Y BLC Curncy</t>
  </si>
  <si>
    <t>S0266FS 4Y3Y BLC Curncy</t>
  </si>
  <si>
    <t>S0266FS 5Y3Y BLC Curncy</t>
  </si>
  <si>
    <t>IRSWNI4  CMPN Curncy</t>
  </si>
  <si>
    <t>S0266FS 3M4Y BLC Curncy</t>
  </si>
  <si>
    <t>S0266FS 6M4Y BLC Curncy</t>
  </si>
  <si>
    <t>S0266FS 1Y4Y BLC Curncy</t>
  </si>
  <si>
    <t>S0266FS 2Y4Y BLC Curncy</t>
  </si>
  <si>
    <t>S0266FS 3Y4Y BLC Curncy</t>
  </si>
  <si>
    <t>S0266FS 4Y4Y BLC Curncy</t>
  </si>
  <si>
    <t>S0266FS 5Y4Y BLC Curncy</t>
  </si>
  <si>
    <t>IRSWNI5  CMPN Curncy</t>
  </si>
  <si>
    <t>S0266FS 3M5Y BLC Curncy</t>
  </si>
  <si>
    <t>S0266FS 6M5Y BLC Curncy</t>
  </si>
  <si>
    <t>S0266FS 1Y5Y BLC Curncy</t>
  </si>
  <si>
    <t>S0266FS 2Y5Y BLC Curncy</t>
  </si>
  <si>
    <t>S0266FS 3Y5Y BLC Curncy</t>
  </si>
  <si>
    <t>S0266FS 4Y5Y BLC Curncy</t>
  </si>
  <si>
    <t>S0266FS 5Y5Y BLC Curncy</t>
  </si>
  <si>
    <t>IRSWNI10 CMPN Curncy</t>
  </si>
  <si>
    <t>S0266FS 3M10Y BLC Curncy</t>
  </si>
  <si>
    <t>S0266FS 6M10Y BLC Curncy</t>
  </si>
  <si>
    <t>S0266FS 1Y10Y BLC Curncy</t>
  </si>
  <si>
    <t>S0266FS 2Y10Y BLC Curncy</t>
  </si>
  <si>
    <t>S0266FS 3Y10Y BLC Curncy</t>
  </si>
  <si>
    <t>S0266FS 4Y10Y BLC Curncy</t>
  </si>
  <si>
    <t>S0266FS 5Y10Y BLC Curncy</t>
  </si>
  <si>
    <t>ADSWC CMPN Curncy</t>
  </si>
  <si>
    <t>S0303FS 3M3M BLC Curncy</t>
  </si>
  <si>
    <t>S0303FS 6M3M BLC Curncy</t>
  </si>
  <si>
    <t>S0303FS 1Y3M BLC Curncy</t>
  </si>
  <si>
    <t>S0303FS 2Y3M BLC Curncy</t>
  </si>
  <si>
    <t>S0303FS 3Y3M BLC Curncy</t>
  </si>
  <si>
    <t>S0303FS 4Y3M BLC Curncy</t>
  </si>
  <si>
    <t>S0303FS 5Y3M BLC Curncy</t>
  </si>
  <si>
    <t>ADSWAP1Q CMPN Curncy</t>
  </si>
  <si>
    <t>S0303FS 3M1Y BLC Curncy</t>
  </si>
  <si>
    <t>S0303FS 6M1Y BLC Curncy</t>
  </si>
  <si>
    <t>S0303FS 1Y1Y BLC Curncy</t>
  </si>
  <si>
    <t>S0303FS 2Y1Y BLC Curncy</t>
  </si>
  <si>
    <t>S0303FS 3Y1Y BLC Curncy</t>
  </si>
  <si>
    <t>S0303FS 4Y1Y BLC Curncy</t>
  </si>
  <si>
    <t>S0303FS 5Y1Y BLC Curncy</t>
  </si>
  <si>
    <t>ADSWAP2Q CMPN Curncy</t>
  </si>
  <si>
    <t>S0303FS 3M2Y BLC Curncy</t>
  </si>
  <si>
    <t>S0303FS 6M2Y BLC Curncy</t>
  </si>
  <si>
    <t>S0303FS 1Y2Y BLC Curncy</t>
  </si>
  <si>
    <t>S0303FS 2Y2Y BLC Curncy</t>
  </si>
  <si>
    <t>S0303FS 3Y2Y BLC Curncy</t>
  </si>
  <si>
    <t>S0303FS 4Y2Y BLC Curncy</t>
  </si>
  <si>
    <t>S0303FS 5Y2Y BLC Curncy</t>
  </si>
  <si>
    <t>ADSWAP3Q CMPN Curncy</t>
  </si>
  <si>
    <t>S0303FS 3M3Y BLC Curncy</t>
  </si>
  <si>
    <t>S0303FS 6M3Y BLC Curncy</t>
  </si>
  <si>
    <t>S0303FS 1Y3Y BLC Curncy</t>
  </si>
  <si>
    <t>S0303FS 2Y3Y BLC Curncy</t>
  </si>
  <si>
    <t>S0303FS 3Y3Y BLC Curncy</t>
  </si>
  <si>
    <t>S0303FS 4Y3Y BLC Curncy</t>
  </si>
  <si>
    <t>S0303FS 5Y3Y BLC Curncy</t>
  </si>
  <si>
    <t>ADSWAP4  CMPN Curncy</t>
  </si>
  <si>
    <t>S0303FS 3M4Y BLC Curncy</t>
  </si>
  <si>
    <t>S0303FS 6M4Y BLC Curncy</t>
  </si>
  <si>
    <t>S0303FS 1Y4Y BLC Curncy</t>
  </si>
  <si>
    <t>S0303FS 2Y4Y BLC Curncy</t>
  </si>
  <si>
    <t>S0303FS 3Y4Y BLC Curncy</t>
  </si>
  <si>
    <t>S0303FS 4Y4Y BLC Curncy</t>
  </si>
  <si>
    <t>S0303FS 5Y4Y BLC Curncy</t>
  </si>
  <si>
    <t>ADSWAP5  CMPN Curncy</t>
  </si>
  <si>
    <t>S0303FS 3M5Y BLC Curncy</t>
  </si>
  <si>
    <t>S0303FS 6M5Y BLC Curncy</t>
  </si>
  <si>
    <t>S0303FS 1Y5Y BLC Curncy</t>
  </si>
  <si>
    <t>S0303FS 2Y5Y BLC Curncy</t>
  </si>
  <si>
    <t>S0303FS 3Y5Y BLC Curncy</t>
  </si>
  <si>
    <t>S0303FS 4Y5Y BLC Curncy</t>
  </si>
  <si>
    <t>S0303FS 5Y5Y BLC Curncy</t>
  </si>
  <si>
    <t>ADSWAP10 CMPN Curncy</t>
  </si>
  <si>
    <t>S0303FS 3M10Y BLC Curncy</t>
  </si>
  <si>
    <t>S0303FS 6M10Y BLC Curncy</t>
  </si>
  <si>
    <t>S0303FS 1Y10Y BLC Curncy</t>
  </si>
  <si>
    <t>S0303FS 2Y10Y BLC Curncy</t>
  </si>
  <si>
    <t>S0303FS 3Y10Y BLC Curncy</t>
  </si>
  <si>
    <t>S0303FS 4Y10Y BLC Curncy</t>
  </si>
  <si>
    <t>S0303FS 5Y10Y BLC Curncy</t>
  </si>
  <si>
    <t>CurrentFolder:</t>
  </si>
  <si>
    <t>Country:</t>
  </si>
  <si>
    <t>P:\\Interest Rate Model</t>
  </si>
  <si>
    <t>HDSWC CMPN Curncy</t>
  </si>
  <si>
    <t>HDSWF CMPN Curncy</t>
  </si>
  <si>
    <t>HDSW1    CMPN Curncy</t>
  </si>
  <si>
    <t>HDSW2    CMPN Curncy</t>
  </si>
  <si>
    <t>HDSW3    CMPN Curncy</t>
  </si>
  <si>
    <t>HDSW4    CMPN Curncy</t>
  </si>
  <si>
    <t>HDSW5    CMPN Curncy</t>
  </si>
  <si>
    <t>HDSW10   CMPN Curncy</t>
  </si>
  <si>
    <t>HDFS0C0C BLC Curncy</t>
  </si>
  <si>
    <t>HDFS0C0F BLC Curncy</t>
  </si>
  <si>
    <t>HDFS0C01 BLC Curncy</t>
  </si>
  <si>
    <t>HDFS0C02 BLC Curncy</t>
  </si>
  <si>
    <t>HDFS0C03 BLC Curncy</t>
  </si>
  <si>
    <t>HDFS0C04 BLC Curncy</t>
  </si>
  <si>
    <t>HDFS0C05 BLC Curncy</t>
  </si>
  <si>
    <t>HDFS0C10 BLC Curncy</t>
  </si>
  <si>
    <t>HDFS0F0C BLC Curncy</t>
  </si>
  <si>
    <t>HDFS0F0F BLC Curncy</t>
  </si>
  <si>
    <t>HDFS0F01 BLC Curncy</t>
  </si>
  <si>
    <t>HDFS0F02 BLC Curncy</t>
  </si>
  <si>
    <t>HDFS0F03 BLC Curncy</t>
  </si>
  <si>
    <t>HDFS0F04 BLC Curncy</t>
  </si>
  <si>
    <t>HDFS0F05 BLC Curncy</t>
  </si>
  <si>
    <t>HDFS0F10 BLC Curncy</t>
  </si>
  <si>
    <t>HDFS010C BLC Curncy</t>
  </si>
  <si>
    <t>HDFS010F BLC Curncy</t>
  </si>
  <si>
    <t>HDFS0101 BLC Curncy</t>
  </si>
  <si>
    <t>HDFS0102 BLC Curncy</t>
  </si>
  <si>
    <t>HDFS0103 BLC Curncy</t>
  </si>
  <si>
    <t>HDFS0104 BLC Curncy</t>
  </si>
  <si>
    <t>HDFS0105 BLC Curncy</t>
  </si>
  <si>
    <t>HDFS0110 BLC Curncy</t>
  </si>
  <si>
    <t>HDFS020C BLC Curncy</t>
  </si>
  <si>
    <t>HDFS020F BLC Curncy</t>
  </si>
  <si>
    <t>HDFS0201 BLC Curncy</t>
  </si>
  <si>
    <t>HDFS0202 BLC Curncy</t>
  </si>
  <si>
    <t>HDFS0203 BLC Curncy</t>
  </si>
  <si>
    <t>HDFS0204 BLC Curncy</t>
  </si>
  <si>
    <t>HDFS0205 BLC Curncy</t>
  </si>
  <si>
    <t>HDFS0210 BLC Curncy</t>
  </si>
  <si>
    <t>HDFS030C BLC Curncy</t>
  </si>
  <si>
    <t>HDFS030F BLC Curncy</t>
  </si>
  <si>
    <t>HDFS0301 BLC Curncy</t>
  </si>
  <si>
    <t>HDFS0302 BLC Curncy</t>
  </si>
  <si>
    <t>HDFS0303 BLC Curncy</t>
  </si>
  <si>
    <t>HDFS0304 BLC Curncy</t>
  </si>
  <si>
    <t>HDFS0305 BLC Curncy</t>
  </si>
  <si>
    <t>HDFS0310 BLC Curncy</t>
  </si>
  <si>
    <t>HDFS040C BLC Curncy</t>
  </si>
  <si>
    <t>HDFS040F BLC Curncy</t>
  </si>
  <si>
    <t>HDFS0401 BLC Curncy</t>
  </si>
  <si>
    <t>HDFS0402 BLC Curncy</t>
  </si>
  <si>
    <t>HDFS0403 BLC Curncy</t>
  </si>
  <si>
    <t>HDFS0404 BLC Curncy</t>
  </si>
  <si>
    <t>HDFS0405 BLC Curncy</t>
  </si>
  <si>
    <t>HDFS0410 BLC Curncy</t>
  </si>
  <si>
    <t>HDFS050C BLC Curncy</t>
  </si>
  <si>
    <t>HDFS050F BLC Curncy</t>
  </si>
  <si>
    <t>HDFS0501 BLC Curncy</t>
  </si>
  <si>
    <t>HDFS0502 BLC Curncy</t>
  </si>
  <si>
    <t>HDFS0503 BLC Curncy</t>
  </si>
  <si>
    <t>HDFS0504 BLC Curncy</t>
  </si>
  <si>
    <t>HDFS0505 BLC Curncy</t>
  </si>
  <si>
    <t>HDFS0510 BLC Curncy</t>
  </si>
  <si>
    <t>NDSWF CMPN Curncy</t>
  </si>
  <si>
    <t>NDSWAP1  CMPN Curncy</t>
  </si>
  <si>
    <t>NDSWAP2  CMPN Curncy</t>
  </si>
  <si>
    <t>NDSWAP3  CMPN Curncy</t>
  </si>
  <si>
    <t>NDSWAP4  CMPN Curncy</t>
  </si>
  <si>
    <t>NDSWAP5  CMPN Curncy</t>
  </si>
  <si>
    <t>NDSWAP10 CMPN Curncy</t>
  </si>
  <si>
    <t>NDFS0C0F BLC Curncy</t>
  </si>
  <si>
    <t>NDFS0C01 BLC Curncy</t>
  </si>
  <si>
    <t>NDFS0C02 BLC Curncy</t>
  </si>
  <si>
    <t>NDFS0C03 BLC Curncy</t>
  </si>
  <si>
    <t>NDFS0C04 BLC Curncy</t>
  </si>
  <si>
    <t>NDFS0C05 BLC Curncy</t>
  </si>
  <si>
    <t>NDFS0C10 BLC Curncy</t>
  </si>
  <si>
    <t>NDFS0F0F BLC Curncy</t>
  </si>
  <si>
    <t>NDFS0F01 BLC Curncy</t>
  </si>
  <si>
    <t>NDFS0F02 BLC Curncy</t>
  </si>
  <si>
    <t>NDFS0F03 BLC Curncy</t>
  </si>
  <si>
    <t>NDFS0F04 BLC Curncy</t>
  </si>
  <si>
    <t>NDFS0F05 BLC Curncy</t>
  </si>
  <si>
    <t>NDFS0F10 BLC Curncy</t>
  </si>
  <si>
    <t>NDFS010F BLC Curncy</t>
  </si>
  <si>
    <t>NDFS0101 BLC Curncy</t>
  </si>
  <si>
    <t>NDFS0102 BLC Curncy</t>
  </si>
  <si>
    <t>NDFS0103 BLC Curncy</t>
  </si>
  <si>
    <t>NDFS0104 BLC Curncy</t>
  </si>
  <si>
    <t>NDFS0105 BLC Curncy</t>
  </si>
  <si>
    <t>NDFS0110 BLC Curncy</t>
  </si>
  <si>
    <t>NDFS020F BLC Curncy</t>
  </si>
  <si>
    <t>NDFS0201 BLC Curncy</t>
  </si>
  <si>
    <t>NDFS0202 BLC Curncy</t>
  </si>
  <si>
    <t>NDFS0203 BLC Curncy</t>
  </si>
  <si>
    <t>NDFS0204 BLC Curncy</t>
  </si>
  <si>
    <t>NDFS0205 BLC Curncy</t>
  </si>
  <si>
    <t>NDFS0210 BLC Curncy</t>
  </si>
  <si>
    <t>NDFS030F BLC Curncy</t>
  </si>
  <si>
    <t>NDFS0301 BLC Curncy</t>
  </si>
  <si>
    <t>NDFS0302 BLC Curncy</t>
  </si>
  <si>
    <t>NDFS0303 BLC Curncy</t>
  </si>
  <si>
    <t>NDFS0304 BLC Curncy</t>
  </si>
  <si>
    <t>NDFS0305 BLC Curncy</t>
  </si>
  <si>
    <t>NDFS0310 BLC Curncy</t>
  </si>
  <si>
    <t>NDFS040F BLC Curncy</t>
  </si>
  <si>
    <t>NDFS0401 BLC Curncy</t>
  </si>
  <si>
    <t>NDFS0402 BLC Curncy</t>
  </si>
  <si>
    <t>NDFS0403 BLC Curncy</t>
  </si>
  <si>
    <t>NDFS0404 BLC Curncy</t>
  </si>
  <si>
    <t>NDFS0405 BLC Curncy</t>
  </si>
  <si>
    <t>NDFS0410 BLC Curncy</t>
  </si>
  <si>
    <t>NDFS050F BLC Curncy</t>
  </si>
  <si>
    <t>NDFS0501 BLC Curncy</t>
  </si>
  <si>
    <t>NDFS0502 BLC Curncy</t>
  </si>
  <si>
    <t>NDFS0503 BLC Curncy</t>
  </si>
  <si>
    <t>NDFS0504 BLC Curncy</t>
  </si>
  <si>
    <t>NDFS0505 BLC Curncy</t>
  </si>
  <si>
    <t>NDFS0510 BLC Curncy</t>
  </si>
  <si>
    <t>TBSWNI1  CMPN Curncy</t>
  </si>
  <si>
    <t>TBSWNI2  CMPN Curncy</t>
  </si>
  <si>
    <t>TBSWNI3  CMPN Curncy</t>
  </si>
  <si>
    <t>TBSWNI4  CMPN Curncy</t>
  </si>
  <si>
    <t>TBSWNI5  CMPN Curncy</t>
  </si>
  <si>
    <t>TBSWNI10 CMPN Curncy</t>
  </si>
  <si>
    <t>THB</t>
  </si>
  <si>
    <t>S0211FS 3M3M BLC Curncy</t>
  </si>
  <si>
    <t>S0211FS 3M6M BLC Curncy</t>
  </si>
  <si>
    <t>S0211FS 3M1Y BLC Curncy</t>
  </si>
  <si>
    <t>S0211FS 3M2Y BLC Curncy</t>
  </si>
  <si>
    <t>S0211FS 3M3Y BLC Curncy</t>
  </si>
  <si>
    <t>S0211FS 3M4Y BLC Curncy</t>
  </si>
  <si>
    <t>S0211FS 3M5Y BLC Curncy</t>
  </si>
  <si>
    <t>S0211FS 3M10Y BLC Curncy</t>
  </si>
  <si>
    <t>S0211FS 6M3M BLC Curncy</t>
  </si>
  <si>
    <t>S0211FS 6M6M BLC Curncy</t>
  </si>
  <si>
    <t>S0211FS 6M1Y BLC Curncy</t>
  </si>
  <si>
    <t>S0211FS 6M2Y BLC Curncy</t>
  </si>
  <si>
    <t>S0211FS 6M3Y BLC Curncy</t>
  </si>
  <si>
    <t>S0211FS 6M4Y BLC Curncy</t>
  </si>
  <si>
    <t>S0211FS 6M5Y BLC Curncy</t>
  </si>
  <si>
    <t>S0211FS 6M10Y BLC Curncy</t>
  </si>
  <si>
    <t>S0211FS 1Y3M BLC Curncy</t>
  </si>
  <si>
    <t>S0211FS 1Y6M BLC Curncy</t>
  </si>
  <si>
    <t>S0211FS 1Y1Y BLC Curncy</t>
  </si>
  <si>
    <t>S0211FS 1Y2Y BLC Curncy</t>
  </si>
  <si>
    <t>S0211FS 1Y3Y BLC Curncy</t>
  </si>
  <si>
    <t>S0211FS 1Y4Y BLC Curncy</t>
  </si>
  <si>
    <t>S0211FS 1Y5Y BLC Curncy</t>
  </si>
  <si>
    <t>S0211FS 1Y10Y BLC Curncy</t>
  </si>
  <si>
    <t>S0211FS 2Y3M BLC Curncy</t>
  </si>
  <si>
    <t>S0211FS 2Y6M BLC Curncy</t>
  </si>
  <si>
    <t>S0211FS 2Y1Y BLC Curncy</t>
  </si>
  <si>
    <t>S0211FS 2Y2Y BLC Curncy</t>
  </si>
  <si>
    <t>S0211FS 2Y3Y BLC Curncy</t>
  </si>
  <si>
    <t>S0211FS 2Y4Y BLC Curncy</t>
  </si>
  <si>
    <t>S0211FS 2Y5Y BLC Curncy</t>
  </si>
  <si>
    <t>S0211FS 2Y10Y BLC Curncy</t>
  </si>
  <si>
    <t>S0211FS 3Y3M BLC Curncy</t>
  </si>
  <si>
    <t>S0211FS 3Y6M BLC Curncy</t>
  </si>
  <si>
    <t>S0211FS 3Y1Y BLC Curncy</t>
  </si>
  <si>
    <t>S0211FS 3Y2Y BLC Curncy</t>
  </si>
  <si>
    <t>S0211FS 3Y3Y BLC Curncy</t>
  </si>
  <si>
    <t>S0211FS 3Y4Y BLC Curncy</t>
  </si>
  <si>
    <t>S0211FS 3Y5Y BLC Curncy</t>
  </si>
  <si>
    <t>S0211FS 3Y10Y BLC Curncy</t>
  </si>
  <si>
    <t>S0211FS 4Y3M BLC Curncy</t>
  </si>
  <si>
    <t>S0211FS 4Y6M BLC Curncy</t>
  </si>
  <si>
    <t>S0211FS 4Y1Y BLC Curncy</t>
  </si>
  <si>
    <t>S0211FS 4Y2Y BLC Curncy</t>
  </si>
  <si>
    <t>S0211FS 4Y3Y BLC Curncy</t>
  </si>
  <si>
    <t>S0211FS 4Y4Y BLC Curncy</t>
  </si>
  <si>
    <t>S0211FS 4Y5Y BLC Curncy</t>
  </si>
  <si>
    <t>S0211FS 4Y10Y BLC Curncy</t>
  </si>
  <si>
    <t>S0211FS 5Y3M BLC Curncy</t>
  </si>
  <si>
    <t>S0211FS 5Y6M BLC Curncy</t>
  </si>
  <si>
    <t>S0211FS 5Y1Y BLC Curncy</t>
  </si>
  <si>
    <t>S0211FS 5Y2Y BLC Curncy</t>
  </si>
  <si>
    <t>S0211FS 5Y3Y BLC Curncy</t>
  </si>
  <si>
    <t>S0211FS 5Y4Y BLC Curncy</t>
  </si>
  <si>
    <t>S0211FS 5Y5Y BLC Curncy</t>
  </si>
  <si>
    <t>S0211FS 5Y10Y BLC Curncy</t>
  </si>
  <si>
    <t>EUSWC CMPN Curncy</t>
  </si>
  <si>
    <t>EUSWF CMPN Curncy</t>
  </si>
  <si>
    <t>EUSA1 CMPN Curncy</t>
  </si>
  <si>
    <t>EUSA2    CMPN Curncy</t>
  </si>
  <si>
    <t>EUSA3    CMPN Curncy</t>
  </si>
  <si>
    <t>EUSA4    CMPN Curncy</t>
  </si>
  <si>
    <t>EUSA5    CMPN Curncy</t>
  </si>
  <si>
    <t>EUSA10   CMPN Curncy</t>
  </si>
  <si>
    <t>EUSAC0C  BLC Curncy</t>
  </si>
  <si>
    <t>EUSAC0F  BLC Curncy</t>
  </si>
  <si>
    <t>EUSAC01  BLC Curncy</t>
  </si>
  <si>
    <t>EUSAC02  BLC Curncy</t>
  </si>
  <si>
    <t>EUSAC03  BLC Curncy</t>
  </si>
  <si>
    <t>EUSAC04  BLC Curncy</t>
  </si>
  <si>
    <t>EUSAC05  BLC Curncy</t>
  </si>
  <si>
    <t>EUSAC10  BLC Curncy</t>
  </si>
  <si>
    <t>EUSAF0C  BLC Curncy</t>
  </si>
  <si>
    <t>EUSAF0F  BLC Curncy</t>
  </si>
  <si>
    <t>EUSAF01  BLC Curncy</t>
  </si>
  <si>
    <t>EUSAF02  BLC Curncy</t>
  </si>
  <si>
    <t>EUSAF03  BLC Curncy</t>
  </si>
  <si>
    <t>EUSAF04  BLC Curncy</t>
  </si>
  <si>
    <t>EUSAF05  BLC Curncy</t>
  </si>
  <si>
    <t>EUSAF10  BLC Curncy</t>
  </si>
  <si>
    <t>EUSA010C BLC Curncy</t>
  </si>
  <si>
    <t>EUSA010F BLC Curncy</t>
  </si>
  <si>
    <t>EUSA0101 BLC Curncy</t>
  </si>
  <si>
    <t>EUSA0102 BLC Curncy</t>
  </si>
  <si>
    <t>EUSA0103 BLC Curncy</t>
  </si>
  <si>
    <t>EUSA0104 BLC Curncy</t>
  </si>
  <si>
    <t>EUSA0105 BLC Curncy</t>
  </si>
  <si>
    <t>EUSA0110 BLC Curncy</t>
  </si>
  <si>
    <t>EUSA020C BLC Curncy</t>
  </si>
  <si>
    <t>EUSA020F BLC Curncy</t>
  </si>
  <si>
    <t>EUSA0201 BLC Curncy</t>
  </si>
  <si>
    <t>EUSA0202 BLC Curncy</t>
  </si>
  <si>
    <t>EUSA0203 BLC Curncy</t>
  </si>
  <si>
    <t>EUSA0204 BLC Curncy</t>
  </si>
  <si>
    <t>EUSA0205 BLC Curncy</t>
  </si>
  <si>
    <t>EUSA0210 BLC Curncy</t>
  </si>
  <si>
    <t>EUSA030C BLC Curncy</t>
  </si>
  <si>
    <t>EUSA030F BLC Curncy</t>
  </si>
  <si>
    <t>EUSA0301 BLC Curncy</t>
  </si>
  <si>
    <t>EUSA0302 BLC Curncy</t>
  </si>
  <si>
    <t>EUSA0303 BLC Curncy</t>
  </si>
  <si>
    <t>EUSA0304 BLC Curncy</t>
  </si>
  <si>
    <t>EUSA0305 BLC Curncy</t>
  </si>
  <si>
    <t>EUSA0310 BLC Curncy</t>
  </si>
  <si>
    <t>EUSA040C BLC Curncy</t>
  </si>
  <si>
    <t>EUSA040F BLC Curncy</t>
  </si>
  <si>
    <t>EUSA0401 BLC Curncy</t>
  </si>
  <si>
    <t>EUSA0402 BLC Curncy</t>
  </si>
  <si>
    <t>EUSA0403 BLC Curncy</t>
  </si>
  <si>
    <t>EUSA0404 BLC Curncy</t>
  </si>
  <si>
    <t>EUSA0405 BLC Curncy</t>
  </si>
  <si>
    <t>EUSA0410 BLC Curncy</t>
  </si>
  <si>
    <t>EUSA050C BLC Curncy</t>
  </si>
  <si>
    <t>EUSA050F BLC Curncy</t>
  </si>
  <si>
    <t>EUSA0501 BLC Curncy</t>
  </si>
  <si>
    <t>EUSA0502 BLC Curncy</t>
  </si>
  <si>
    <t>EUSA0503 BLC Curncy</t>
  </si>
  <si>
    <t>EUSA0504 BLC Curncy</t>
  </si>
  <si>
    <t>EUSA0505 BLC Curncy</t>
  </si>
  <si>
    <t>EUSA0510 BLC Curncy</t>
  </si>
  <si>
    <t>EONIA</t>
  </si>
  <si>
    <t>EUSWEC   CMPN Curncy</t>
  </si>
  <si>
    <t>EUSWEF   CMPN Curncy</t>
  </si>
  <si>
    <t>EUSWE1   CMPN Curncy</t>
  </si>
  <si>
    <t>EUSWE2   CMPN Curncy</t>
  </si>
  <si>
    <t>EUSWE3   CMPN Curncy</t>
  </si>
  <si>
    <t>EUSWE4   CMPN Curncy</t>
  </si>
  <si>
    <t>EUSWE5   CMPN Curncy</t>
  </si>
  <si>
    <t>EUSWE10  CMPN Curncy</t>
  </si>
  <si>
    <t>S0133FS 3M3M BLC Curncy</t>
  </si>
  <si>
    <t>S0133FS 3M6M BLC Curncy</t>
  </si>
  <si>
    <t>S0133FS 3M1Y BLC Curncy</t>
  </si>
  <si>
    <t>S0133FS 3M2Y BLC Curncy</t>
  </si>
  <si>
    <t>S0133FS 3M3Y BLC Curncy</t>
  </si>
  <si>
    <t>S0133FS 3M4Y BLC Curncy</t>
  </si>
  <si>
    <t>S0133FS 3M5Y BLC Curncy</t>
  </si>
  <si>
    <t>S0133FS 3M10Y BLC Curncy</t>
  </si>
  <si>
    <t>S0133FS 6M3M BLC Curncy</t>
  </si>
  <si>
    <t>S0133FS 6M6M BLC Curncy</t>
  </si>
  <si>
    <t>S0133FS 6M1Y BLC Curncy</t>
  </si>
  <si>
    <t>S0133FS 6M2Y BLC Curncy</t>
  </si>
  <si>
    <t>S0133FS 6M3Y BLC Curncy</t>
  </si>
  <si>
    <t>S0133FS 6M4Y BLC Curncy</t>
  </si>
  <si>
    <t>S0133FS 6M5Y BLC Curncy</t>
  </si>
  <si>
    <t>S0133FS 6M10Y BLC Curncy</t>
  </si>
  <si>
    <t>S0133FS 1Y3M BLC Curncy</t>
  </si>
  <si>
    <t>S0133FS 1Y6M BLC Curncy</t>
  </si>
  <si>
    <t>S0133FS 1Y1Y BLC Curncy</t>
  </si>
  <si>
    <t>S0133FS 1Y2Y BLC Curncy</t>
  </si>
  <si>
    <t>S0133FS 1Y3Y BLC Curncy</t>
  </si>
  <si>
    <t>S0133FS 1Y4Y BLC Curncy</t>
  </si>
  <si>
    <t>S0133FS 1Y5Y BLC Curncy</t>
  </si>
  <si>
    <t>S0133FS 1Y10Y BLC Curncy</t>
  </si>
  <si>
    <t>S0133FS 2Y3M BLC Curncy</t>
  </si>
  <si>
    <t>S0133FS 2Y6M BLC Curncy</t>
  </si>
  <si>
    <t>S0133FS 2Y1Y BLC Curncy</t>
  </si>
  <si>
    <t>S0133FS 2Y2Y BLC Curncy</t>
  </si>
  <si>
    <t>S0133FS 2Y3Y BLC Curncy</t>
  </si>
  <si>
    <t>S0133FS 2Y4Y BLC Curncy</t>
  </si>
  <si>
    <t>S0133FS 2Y5Y BLC Curncy</t>
  </si>
  <si>
    <t>S0133FS 2Y10Y BLC Curncy</t>
  </si>
  <si>
    <t>S0133FS 3Y3M BLC Curncy</t>
  </si>
  <si>
    <t>S0133FS 3Y6M BLC Curncy</t>
  </si>
  <si>
    <t>S0133FS 3Y1Y BLC Curncy</t>
  </si>
  <si>
    <t>S0133FS 3Y2Y BLC Curncy</t>
  </si>
  <si>
    <t>S0133FS 3Y3Y BLC Curncy</t>
  </si>
  <si>
    <t>S0133FS 3Y4Y BLC Curncy</t>
  </si>
  <si>
    <t>S0133FS 3Y5Y BLC Curncy</t>
  </si>
  <si>
    <t>S0133FS 3Y10Y BLC Curncy</t>
  </si>
  <si>
    <t>S0133FS 4Y3M BLC Curncy</t>
  </si>
  <si>
    <t>S0133FS 4Y6M BLC Curncy</t>
  </si>
  <si>
    <t>S0133FS 4Y1Y BLC Curncy</t>
  </si>
  <si>
    <t>S0133FS 4Y2Y BLC Curncy</t>
  </si>
  <si>
    <t>S0133FS 4Y3Y BLC Curncy</t>
  </si>
  <si>
    <t>S0133FS 4Y4Y BLC Curncy</t>
  </si>
  <si>
    <t>S0133FS 4Y5Y BLC Curncy</t>
  </si>
  <si>
    <t>S0133FS 4Y10Y BLC Curncy</t>
  </si>
  <si>
    <t>S0133FS 5Y3M BLC Curncy</t>
  </si>
  <si>
    <t>S0133FS 5Y6M BLC Curncy</t>
  </si>
  <si>
    <t>S0133FS 5Y1Y BLC Curncy</t>
  </si>
  <si>
    <t>S0133FS 5Y2Y BLC Curncy</t>
  </si>
  <si>
    <t>S0133FS 5Y3Y BLC Curncy</t>
  </si>
  <si>
    <t>S0133FS 5Y4Y BLC Curncy</t>
  </si>
  <si>
    <t>S0133FS 5Y5Y BLC Curncy</t>
  </si>
  <si>
    <t>S0133FS 5Y10Y BLC Curncy</t>
  </si>
  <si>
    <t>G0016 3M3M BLC2 Curncy</t>
  </si>
  <si>
    <t>G0016 3M6M BLC2 Curncy</t>
  </si>
  <si>
    <t>G0016 3M1Y BLC2 Curncy</t>
  </si>
  <si>
    <t>G0016 3M2Y BLC2 Curncy</t>
  </si>
  <si>
    <t>G0016 3M3Y BLC2 Curncy</t>
  </si>
  <si>
    <t>G0016 3M4Y BLC2 Curncy</t>
  </si>
  <si>
    <t>G0016 3M5Y BLC2 Curncy</t>
  </si>
  <si>
    <t>G0016 3M10Y BLC2 Curncy</t>
  </si>
  <si>
    <t>G0016 6M3M BLC2 Curncy</t>
  </si>
  <si>
    <t>G0016 6M6M BLC2 Curncy</t>
  </si>
  <si>
    <t>G0016 6M1Y BLC2 Curncy</t>
  </si>
  <si>
    <t>G0016 6M2Y BLC2 Curncy</t>
  </si>
  <si>
    <t>G0016 6M3Y BLC2 Curncy</t>
  </si>
  <si>
    <t>G0016 6M4Y BLC2 Curncy</t>
  </si>
  <si>
    <t>G0016 6M5Y BLC2 Curncy</t>
  </si>
  <si>
    <t>G0016 6M10Y BLC2 Curncy</t>
  </si>
  <si>
    <t>G0016 1Y3M BLC2 Curncy</t>
  </si>
  <si>
    <t>G0016 1Y6M BLC2 Curncy</t>
  </si>
  <si>
    <t>G0016 1Y1Y BLC2 Curncy</t>
  </si>
  <si>
    <t>G0016 1Y2Y BLC2 Curncy</t>
  </si>
  <si>
    <t>G0016 1Y3Y BLC2 Curncy</t>
  </si>
  <si>
    <t>G0016 1Y4Y BLC2 Curncy</t>
  </si>
  <si>
    <t>G0016 1Y5Y BLC2 Curncy</t>
  </si>
  <si>
    <t>G0016 1Y10Y BLC2 Curncy</t>
  </si>
  <si>
    <t>G0016 2Y3M BLC2 Curncy</t>
  </si>
  <si>
    <t>G0016 2Y6M BLC2 Curncy</t>
  </si>
  <si>
    <t>G0016 2Y1Y BLC2 Curncy</t>
  </si>
  <si>
    <t>G0016 2Y2Y BLC2 Curncy</t>
  </si>
  <si>
    <t>G0016 2Y3Y BLC2 Curncy</t>
  </si>
  <si>
    <t>G0016 2Y4Y BLC2 Curncy</t>
  </si>
  <si>
    <t>G0016 2Y5Y BLC2 Curncy</t>
  </si>
  <si>
    <t>G0016 2Y10Y BLC2 Curncy</t>
  </si>
  <si>
    <t>G0016 3Y3M BLC2 Curncy</t>
  </si>
  <si>
    <t>G0016 3Y6M BLC2 Curncy</t>
  </si>
  <si>
    <t>G0016 3Y1Y BLC2 Curncy</t>
  </si>
  <si>
    <t>G0016 3Y2Y BLC2 Curncy</t>
  </si>
  <si>
    <t>G0016 3Y3Y BLC2 Curncy</t>
  </si>
  <si>
    <t>G0016 3Y4Y BLC2 Curncy</t>
  </si>
  <si>
    <t>G0016 3Y5Y BLC2 Curncy</t>
  </si>
  <si>
    <t>G0016 3Y10Y BLC2 Curncy</t>
  </si>
  <si>
    <t>G0016 4Y3M BLC2 Curncy</t>
  </si>
  <si>
    <t>G0016 5Y3M BLC2 Curncy</t>
  </si>
  <si>
    <t>G0016 4Y6M BLC2 Curncy</t>
  </si>
  <si>
    <t>G0016 5Y6M BLC2 Curncy</t>
  </si>
  <si>
    <t>G0016 4Y1Y BLC2 Curncy</t>
  </si>
  <si>
    <t>G0016 5Y1Y BLC2 Curncy</t>
  </si>
  <si>
    <t>G0016 4Y2Y BLC2 Curncy</t>
  </si>
  <si>
    <t>G0016 5Y2Y BLC2 Curncy</t>
  </si>
  <si>
    <t>G0016 4Y3Y BLC2 Curncy</t>
  </si>
  <si>
    <t>G0016 5Y3Y BLC2 Curncy</t>
  </si>
  <si>
    <t>G0016 4Y4Y BLC2 Curncy</t>
  </si>
  <si>
    <t>G0016 5Y4Y BLC2 Curncy</t>
  </si>
  <si>
    <t>G0016 4Y5Y BLC2 Curncy</t>
  </si>
  <si>
    <t>G0016 5Y5Y BLC2 Curncy</t>
  </si>
  <si>
    <t>G0016 4Y10Y BLC2 Curncy</t>
  </si>
  <si>
    <t>G0016 5Y10Y BLC2 Curncy</t>
  </si>
  <si>
    <t>G0014 3M3M BLC2 Curncy</t>
  </si>
  <si>
    <t>G0014 3M6M BLC2 Curncy</t>
  </si>
  <si>
    <t>G0014 3M1Y BLC2 Curncy</t>
  </si>
  <si>
    <t>G0014 3M2Y BLC2 Curncy</t>
  </si>
  <si>
    <t>G0014 3M3Y BLC2 Curncy</t>
  </si>
  <si>
    <t>G0014 3M4Y BLC2 Curncy</t>
  </si>
  <si>
    <t>G0014 3M5Y BLC2 Curncy</t>
  </si>
  <si>
    <t>G0014 3M10Y BLC2 Curncy</t>
  </si>
  <si>
    <t>G0014 6M3M BLC2 Curncy</t>
  </si>
  <si>
    <t>G0014 6M6M BLC2 Curncy</t>
  </si>
  <si>
    <t>G0014 6M1Y BLC2 Curncy</t>
  </si>
  <si>
    <t>G0014 6M2Y BLC2 Curncy</t>
  </si>
  <si>
    <t>G0014 6M3Y BLC2 Curncy</t>
  </si>
  <si>
    <t>G0014 6M4Y BLC2 Curncy</t>
  </si>
  <si>
    <t>G0014 6M5Y BLC2 Curncy</t>
  </si>
  <si>
    <t>G0014 6M10Y BLC2 Curncy</t>
  </si>
  <si>
    <t>G0014 1Y3M BLC2 Curncy</t>
  </si>
  <si>
    <t>G0014 1Y6M BLC2 Curncy</t>
  </si>
  <si>
    <t>G0014 1Y1Y BLC2 Curncy</t>
  </si>
  <si>
    <t>G0014 1Y2Y BLC2 Curncy</t>
  </si>
  <si>
    <t>G0014 1Y3Y BLC2 Curncy</t>
  </si>
  <si>
    <t>G0014 1Y4Y BLC2 Curncy</t>
  </si>
  <si>
    <t>G0014 1Y5Y BLC2 Curncy</t>
  </si>
  <si>
    <t>G0014 1Y10Y BLC2 Curncy</t>
  </si>
  <si>
    <t>G0014 2Y3M BLC2 Curncy</t>
  </si>
  <si>
    <t>G0014 2Y6M BLC2 Curncy</t>
  </si>
  <si>
    <t>G0014 2Y1Y BLC2 Curncy</t>
  </si>
  <si>
    <t>G0014 2Y2Y BLC2 Curncy</t>
  </si>
  <si>
    <t>G0014 2Y3Y BLC2 Curncy</t>
  </si>
  <si>
    <t>G0014 2Y4Y BLC2 Curncy</t>
  </si>
  <si>
    <t>G0014 2Y5Y BLC2 Curncy</t>
  </si>
  <si>
    <t>G0014 2Y10Y BLC2 Curncy</t>
  </si>
  <si>
    <t>G0014 3Y3M BLC2 Curncy</t>
  </si>
  <si>
    <t>G0014 3Y6M BLC2 Curncy</t>
  </si>
  <si>
    <t>G0014 3Y1Y BLC2 Curncy</t>
  </si>
  <si>
    <t>G0014 3Y2Y BLC2 Curncy</t>
  </si>
  <si>
    <t>G0014 3Y3Y BLC2 Curncy</t>
  </si>
  <si>
    <t>G0014 3Y4Y BLC2 Curncy</t>
  </si>
  <si>
    <t>G0014 3Y5Y BLC2 Curncy</t>
  </si>
  <si>
    <t>G0014 3Y10Y BLC2 Curncy</t>
  </si>
  <si>
    <t>G0014 4Y3M BLC2 Curncy</t>
  </si>
  <si>
    <t>G0014 5Y3M BLC2 Curncy</t>
  </si>
  <si>
    <t>G0014 4Y6M BLC2 Curncy</t>
  </si>
  <si>
    <t>G0014 5Y6M BLC2 Curncy</t>
  </si>
  <si>
    <t>G0014 4Y1Y BLC2 Curncy</t>
  </si>
  <si>
    <t>G0014 5Y1Y BLC2 Curncy</t>
  </si>
  <si>
    <t>G0014 4Y2Y BLC2 Curncy</t>
  </si>
  <si>
    <t>G0014 5Y2Y BLC2 Curncy</t>
  </si>
  <si>
    <t>G0014 4Y3Y BLC2 Curncy</t>
  </si>
  <si>
    <t>G0014 5Y3Y BLC2 Curncy</t>
  </si>
  <si>
    <t>G0014 4Y4Y BLC2 Curncy</t>
  </si>
  <si>
    <t>G0014 5Y4Y BLC2 Curncy</t>
  </si>
  <si>
    <t>G0014 4Y5Y BLC2 Curncy</t>
  </si>
  <si>
    <t>G0014 5Y5Y BLC2 Curncy</t>
  </si>
  <si>
    <t>G0014 4Y10Y BLC2 Curncy</t>
  </si>
  <si>
    <t>G0014 5Y10Y BLC2 Curncy</t>
  </si>
  <si>
    <t>GBP</t>
  </si>
  <si>
    <t>BPSWC CMPN Curncy</t>
  </si>
  <si>
    <t>BPSWF CMPN Curncy</t>
  </si>
  <si>
    <t>BPSW1 CMPN Curncy</t>
  </si>
  <si>
    <t>BPSW2    CMPN Curncy</t>
  </si>
  <si>
    <t>BPSW3    CMPN Curncy</t>
  </si>
  <si>
    <t>BPSW4    CMPN Curncy</t>
  </si>
  <si>
    <t>BPSW5    CMPN Curncy</t>
  </si>
  <si>
    <t>BPSW10   CMPN Curncy</t>
  </si>
  <si>
    <t>BPSW0C0C BLC Curncy</t>
  </si>
  <si>
    <t>BPSW0C0F BLC Curncy</t>
  </si>
  <si>
    <t>BPSW0C01 BLC Curncy</t>
  </si>
  <si>
    <t>BPSW0C02 BLC Curncy</t>
  </si>
  <si>
    <t>BPSW0C03 BLC Curncy</t>
  </si>
  <si>
    <t>BPSW0C04 BLC Curncy</t>
  </si>
  <si>
    <t>BPSW0C05 BLC Curncy</t>
  </si>
  <si>
    <t>BPSW0C10 BLC Curncy</t>
  </si>
  <si>
    <t>BPSW0F0C BLC Curncy</t>
  </si>
  <si>
    <t>BPSW0F0F BLC Curncy</t>
  </si>
  <si>
    <t>BPSW0F01 BLC Curncy</t>
  </si>
  <si>
    <t>BPSW0F02 BLC Curncy</t>
  </si>
  <si>
    <t>BPSW0F03 BLC Curncy</t>
  </si>
  <si>
    <t>BPSW0F04 BLC Curncy</t>
  </si>
  <si>
    <t>BPSW0F05 BLC Curncy</t>
  </si>
  <si>
    <t>BPSW0F10 BLC Curncy</t>
  </si>
  <si>
    <t>BPSW010C BLC Curncy</t>
  </si>
  <si>
    <t>BPSW010F BLC Curncy</t>
  </si>
  <si>
    <t>BPSW0101 BLC Curncy</t>
  </si>
  <si>
    <t>BPSW0102 BLC Curncy</t>
  </si>
  <si>
    <t>BPSW0103 BLC Curncy</t>
  </si>
  <si>
    <t>BPSW0104 BLC Curncy</t>
  </si>
  <si>
    <t>BPSW0105 BLC Curncy</t>
  </si>
  <si>
    <t>BPSW0110 BLC Curncy</t>
  </si>
  <si>
    <t>BPSW020C BLC Curncy</t>
  </si>
  <si>
    <t>BPSW020F BLC Curncy</t>
  </si>
  <si>
    <t>BPSW0201 BLC Curncy</t>
  </si>
  <si>
    <t>BPSW0202 BLC Curncy</t>
  </si>
  <si>
    <t>BPSW0203 BLC Curncy</t>
  </si>
  <si>
    <t>BPSW0204 BLC Curncy</t>
  </si>
  <si>
    <t>BPSW0205 BLC Curncy</t>
  </si>
  <si>
    <t>BPSW0210 BLC Curncy</t>
  </si>
  <si>
    <t>BPSW030C BLC Curncy</t>
  </si>
  <si>
    <t>BPSW030F BLC Curncy</t>
  </si>
  <si>
    <t>BPSW0301 BLC Curncy</t>
  </si>
  <si>
    <t>BPSW0302 BLC Curncy</t>
  </si>
  <si>
    <t>BPSW0303 BLC Curncy</t>
  </si>
  <si>
    <t>BPSW0304 BLC Curncy</t>
  </si>
  <si>
    <t>BPSW0305 BLC Curncy</t>
  </si>
  <si>
    <t>BPSW0310 BLC Curncy</t>
  </si>
  <si>
    <t>BPSW040C BLC Curncy</t>
  </si>
  <si>
    <t>BPSW040F BLC Curncy</t>
  </si>
  <si>
    <t>BPSW0401 BLC Curncy</t>
  </si>
  <si>
    <t>BPSW0402 BLC Curncy</t>
  </si>
  <si>
    <t>BPSW0403 BLC Curncy</t>
  </si>
  <si>
    <t>BPSW0404 BLC Curncy</t>
  </si>
  <si>
    <t>BPSW0405 BLC Curncy</t>
  </si>
  <si>
    <t>BPSW0410 BLC Curncy</t>
  </si>
  <si>
    <t>BPSW050C BLC Curncy</t>
  </si>
  <si>
    <t>BPSW050F BLC Curncy</t>
  </si>
  <si>
    <t>BPSW0501 BLC Curncy</t>
  </si>
  <si>
    <t>BPSW0502 BLC Curncy</t>
  </si>
  <si>
    <t>BPSW0503 BLC Curncy</t>
  </si>
  <si>
    <t>BPSW0504 BLC Curncy</t>
  </si>
  <si>
    <t>BPSW0505 BLC Curncy</t>
  </si>
  <si>
    <t>BPSW0510 BLC Curncy</t>
  </si>
  <si>
    <t>G0040 3M3M BLC2 Curncy</t>
  </si>
  <si>
    <t>G0040 3M6M BLC2 Curncy</t>
  </si>
  <si>
    <t>G0040 3M1Y BLC2 Curncy</t>
  </si>
  <si>
    <t>G0040 3M2Y BLC2 Curncy</t>
  </si>
  <si>
    <t>G0040 3M3Y BLC2 Curncy</t>
  </si>
  <si>
    <t>G0040 3M4Y BLC2 Curncy</t>
  </si>
  <si>
    <t>G0040 3M5Y BLC2 Curncy</t>
  </si>
  <si>
    <t>G0040 3M10Y BLC2 Curncy</t>
  </si>
  <si>
    <t>G0040 6M3M BLC2 Curncy</t>
  </si>
  <si>
    <t>G0040 6M6M BLC2 Curncy</t>
  </si>
  <si>
    <t>G0040 6M1Y BLC2 Curncy</t>
  </si>
  <si>
    <t>G0040 6M2Y BLC2 Curncy</t>
  </si>
  <si>
    <t>G0040 6M3Y BLC2 Curncy</t>
  </si>
  <si>
    <t>G0040 6M4Y BLC2 Curncy</t>
  </si>
  <si>
    <t>G0040 6M5Y BLC2 Curncy</t>
  </si>
  <si>
    <t>G0040 6M10Y BLC2 Curncy</t>
  </si>
  <si>
    <t>G0040 1Y3M BLC2 Curncy</t>
  </si>
  <si>
    <t>G0040 1Y6M BLC2 Curncy</t>
  </si>
  <si>
    <t>G0040 1Y1Y BLC2 Curncy</t>
  </si>
  <si>
    <t>G0040 1Y2Y BLC2 Curncy</t>
  </si>
  <si>
    <t>G0040 1Y3Y BLC2 Curncy</t>
  </si>
  <si>
    <t>G0040 1Y4Y BLC2 Curncy</t>
  </si>
  <si>
    <t>G0040 1Y5Y BLC2 Curncy</t>
  </si>
  <si>
    <t>G0040 1Y10Y BLC2 Curncy</t>
  </si>
  <si>
    <t>G0040 2Y3M BLC2 Curncy</t>
  </si>
  <si>
    <t>G0040 2Y6M BLC2 Curncy</t>
  </si>
  <si>
    <t>G0040 2Y1Y BLC2 Curncy</t>
  </si>
  <si>
    <t>G0040 2Y2Y BLC2 Curncy</t>
  </si>
  <si>
    <t>G0040 2Y3Y BLC2 Curncy</t>
  </si>
  <si>
    <t>G0040 2Y4Y BLC2 Curncy</t>
  </si>
  <si>
    <t>G0040 2Y5Y BLC2 Curncy</t>
  </si>
  <si>
    <t>G0040 2Y10Y BLC2 Curncy</t>
  </si>
  <si>
    <t>G0040 3Y3M BLC2 Curncy</t>
  </si>
  <si>
    <t>G0040 3Y6M BLC2 Curncy</t>
  </si>
  <si>
    <t>G0040 3Y1Y BLC2 Curncy</t>
  </si>
  <si>
    <t>G0040 3Y2Y BLC2 Curncy</t>
  </si>
  <si>
    <t>G0040 3Y3Y BLC2 Curncy</t>
  </si>
  <si>
    <t>G0040 3Y4Y BLC2 Curncy</t>
  </si>
  <si>
    <t>G0040 3Y5Y BLC2 Curncy</t>
  </si>
  <si>
    <t>G0040 3Y10Y BLC2 Curncy</t>
  </si>
  <si>
    <t>G0040 4Y3M BLC2 Curncy</t>
  </si>
  <si>
    <t>G0040 4Y6M BLC2 Curncy</t>
  </si>
  <si>
    <t>G0040 4Y1Y BLC2 Curncy</t>
  </si>
  <si>
    <t>G0040 4Y2Y BLC2 Curncy</t>
  </si>
  <si>
    <t>G0040 4Y3Y BLC2 Curncy</t>
  </si>
  <si>
    <t>G0040 4Y4Y BLC2 Curncy</t>
  </si>
  <si>
    <t>G0040 4Y5Y BLC2 Curncy</t>
  </si>
  <si>
    <t>G0040 4Y10Y BLC2 Curncy</t>
  </si>
  <si>
    <t>G0040 5Y3M BLC2 Curncy</t>
  </si>
  <si>
    <t>G0040 5Y6M BLC2 Curncy</t>
  </si>
  <si>
    <t>G0040 5Y1Y BLC2 Curncy</t>
  </si>
  <si>
    <t>G0040 5Y2Y BLC2 Curncy</t>
  </si>
  <si>
    <t>G0040 5Y3Y BLC2 Curncy</t>
  </si>
  <si>
    <t>G0040 5Y4Y BLC2 Curncy</t>
  </si>
  <si>
    <t>G0040 5Y5Y BLC2 Curncy</t>
  </si>
  <si>
    <t>G0040 5Y10Y BLC2 Curncy</t>
  </si>
  <si>
    <t>GETB1 Index</t>
  </si>
  <si>
    <t>GETB2 Index</t>
  </si>
  <si>
    <t>GDBR1 Index</t>
  </si>
  <si>
    <t>GDBR2 Index</t>
  </si>
  <si>
    <t>GDBR3 Index</t>
  </si>
  <si>
    <t>GDBR4 Index</t>
  </si>
  <si>
    <t>GDBR5 Index</t>
  </si>
  <si>
    <t>GDBR10 Index</t>
  </si>
  <si>
    <t>GBTF3MO Index</t>
  </si>
  <si>
    <t>GBTF6MO Index</t>
  </si>
  <si>
    <t>GBTF1YR Index</t>
  </si>
  <si>
    <t>GFRN2 Index</t>
  </si>
  <si>
    <t>GFRN3 Index</t>
  </si>
  <si>
    <t>GFRN4 Index</t>
  </si>
  <si>
    <t>GFRN5 Index</t>
  </si>
  <si>
    <t>GFRN10 Index</t>
  </si>
  <si>
    <t>GBOTG3M Index</t>
  </si>
  <si>
    <t>GBOTG6M Index</t>
  </si>
  <si>
    <t>GBOTG12M Index</t>
  </si>
  <si>
    <t>GBTPGR2 Index</t>
  </si>
  <si>
    <t>GBTPGR3 Index</t>
  </si>
  <si>
    <t>GBTPGR4 Index</t>
  </si>
  <si>
    <t>GBTPGR5 Index</t>
  </si>
  <si>
    <t>GBTPGR10 Index</t>
  </si>
  <si>
    <t>TBSWNIC  CMPN Curncy</t>
  </si>
  <si>
    <t>TBSWNIF  CMPN Curncy</t>
  </si>
  <si>
    <t>USD</t>
  </si>
  <si>
    <t>TWD</t>
  </si>
  <si>
    <t>SGD</t>
  </si>
  <si>
    <t>MYR</t>
  </si>
  <si>
    <t>AUD</t>
  </si>
  <si>
    <t>INR</t>
  </si>
  <si>
    <t>CNH</t>
  </si>
  <si>
    <t>HKD</t>
  </si>
  <si>
    <t>NZD</t>
  </si>
  <si>
    <t>EUR</t>
  </si>
  <si>
    <t>DEM</t>
  </si>
  <si>
    <t>FRF</t>
  </si>
  <si>
    <t>ITL</t>
  </si>
  <si>
    <t>MXN</t>
  </si>
  <si>
    <t>BRL</t>
  </si>
  <si>
    <t>MPSWC    CMPN Curncy</t>
  </si>
  <si>
    <t>MPFS0C0C BLC Curncy</t>
  </si>
  <si>
    <t>MPFS0F0C BLC Curncy</t>
  </si>
  <si>
    <t>MPFS010C BLC Curncy</t>
  </si>
  <si>
    <t>MPFS020C BLC Curncy</t>
  </si>
  <si>
    <t>MPFS030C BLC Curncy</t>
  </si>
  <si>
    <t>MPFS040C BLC Curncy</t>
  </si>
  <si>
    <t>MPFS050C BLC Curncy</t>
  </si>
  <si>
    <t>MPSWF    CMPN Curncy</t>
  </si>
  <si>
    <t>MPFS0C0F BLC Curncy</t>
  </si>
  <si>
    <t>MPFS0F0F BLC Curncy</t>
  </si>
  <si>
    <t>MPFS010F BLC Curncy</t>
  </si>
  <si>
    <t>MPFS020F BLC Curncy</t>
  </si>
  <si>
    <t>MPFS030F BLC Curncy</t>
  </si>
  <si>
    <t>MPFS040F BLC Curncy</t>
  </si>
  <si>
    <t>MPFS050F BLC Curncy</t>
  </si>
  <si>
    <t>MPSW1A   CMPN Curncy</t>
  </si>
  <si>
    <t>MPFS0C01 BLC Curncy</t>
  </si>
  <si>
    <t>MPFS0F01 BLC Curncy</t>
  </si>
  <si>
    <t>MPFS0101 BLC Curncy</t>
  </si>
  <si>
    <t>MPFS0201 BLC Curncy</t>
  </si>
  <si>
    <t>MPFS0301 BLC Curncy</t>
  </si>
  <si>
    <t>MPFS0401 BLC Curncy</t>
  </si>
  <si>
    <t>MPFS0501 BLC Curncy</t>
  </si>
  <si>
    <t>MPSW2B   CMPN Curncy</t>
  </si>
  <si>
    <t>MPFS0C02 BLC Curncy</t>
  </si>
  <si>
    <t>MPFS0F02 BLC Curncy</t>
  </si>
  <si>
    <t>MPFS0102 BLC Curncy</t>
  </si>
  <si>
    <t>MPFS0202 BLC Curncy</t>
  </si>
  <si>
    <t>MPFS0302 BLC Curncy</t>
  </si>
  <si>
    <t>MPFS0402 BLC Curncy</t>
  </si>
  <si>
    <t>MPFS0502 BLC Curncy</t>
  </si>
  <si>
    <t>MPSW3C   CMPN Curncy</t>
  </si>
  <si>
    <t>MPFS0C03 BLC Curncy</t>
  </si>
  <si>
    <t>MPFS0F03 BLC Curncy</t>
  </si>
  <si>
    <t>MPFS0103 BLC Curncy</t>
  </si>
  <si>
    <t>MPFS0203 BLC Curncy</t>
  </si>
  <si>
    <t>MPFS0303 BLC Curncy</t>
  </si>
  <si>
    <t>MPFS0403 BLC Curncy</t>
  </si>
  <si>
    <t>MPFS0503 BLC Curncy</t>
  </si>
  <si>
    <t>MPSW4D   CMPN Curncy</t>
  </si>
  <si>
    <t>MPFS0C04 BLC Curncy</t>
  </si>
  <si>
    <t>MPFS0F04 BLC Curncy</t>
  </si>
  <si>
    <t>MPFS0104 BLC Curncy</t>
  </si>
  <si>
    <t>MPFS0204 BLC Curncy</t>
  </si>
  <si>
    <t>MPFS0304 BLC Curncy</t>
  </si>
  <si>
    <t>MPFS0404 BLC Curncy</t>
  </si>
  <si>
    <t>MPFS0504 BLC Curncy</t>
  </si>
  <si>
    <t>MPSW5E   CMPN Curncy</t>
  </si>
  <si>
    <t>MPFS0C05 BLC Curncy</t>
  </si>
  <si>
    <t>MPFS0F05 BLC Curncy</t>
  </si>
  <si>
    <t>MPFS0105 BLC Curncy</t>
  </si>
  <si>
    <t>MPFS0205 BLC Curncy</t>
  </si>
  <si>
    <t>MPFS0305 BLC Curncy</t>
  </si>
  <si>
    <t>MPFS0405 BLC Curncy</t>
  </si>
  <si>
    <t>MPFS0505 BLC Curncy</t>
  </si>
  <si>
    <t>MPSW10K  CMPN Curncy</t>
  </si>
  <si>
    <t>MPFS0C10 BLC Curncy</t>
  </si>
  <si>
    <t>MPFS0F10 BLC Curncy</t>
  </si>
  <si>
    <t>MPFS0110 BLC Curncy</t>
  </si>
  <si>
    <t>MPFS0210 BLC Curncy</t>
  </si>
  <si>
    <t>MPFS0310 BLC Curncy</t>
  </si>
  <si>
    <t>MPFS0410 BLC Curncy</t>
  </si>
  <si>
    <t>MPFS0510 BLC Curncy</t>
  </si>
  <si>
    <t>ZAR</t>
  </si>
  <si>
    <t>SADRC CMPN Curncy</t>
  </si>
  <si>
    <t>SASWF CMPN Curncy</t>
  </si>
  <si>
    <t>SASW1    CMPN Curncy</t>
  </si>
  <si>
    <t>SASW2    CMPN Curncy</t>
  </si>
  <si>
    <t>SASW3    CMPN Curncy</t>
  </si>
  <si>
    <t>SASW4    CMPN Curncy</t>
  </si>
  <si>
    <t>SASW5    CMPN Curncy</t>
  </si>
  <si>
    <t>SASW10   CMPN Curncy</t>
  </si>
  <si>
    <t>SAFS0C0C BLC Curncy</t>
  </si>
  <si>
    <t>SAFS0C0F BLC Curncy</t>
  </si>
  <si>
    <t>SAFS0C01 BLC Curncy</t>
  </si>
  <si>
    <t>SAFS0C02 BLC Curncy</t>
  </si>
  <si>
    <t>SAFS0C03 BLC Curncy</t>
  </si>
  <si>
    <t>SAFS0C04 BLC Curncy</t>
  </si>
  <si>
    <t>SAFS0C05 BLC Curncy</t>
  </si>
  <si>
    <t>SAFS0C10 BLC Curncy</t>
  </si>
  <si>
    <t>SAFS0F0C BLC Curncy</t>
  </si>
  <si>
    <t>SAFS0F0F BLC Curncy</t>
  </si>
  <si>
    <t>SAFS0F01 BLC Curncy</t>
  </si>
  <si>
    <t>SAFS0F02 BLC Curncy</t>
  </si>
  <si>
    <t>SAFS0F03 BLC Curncy</t>
  </si>
  <si>
    <t>SAFS0F04 BLC Curncy</t>
  </si>
  <si>
    <t>SAFS0F05 BLC Curncy</t>
  </si>
  <si>
    <t>SAFS0F10 BLC Curncy</t>
  </si>
  <si>
    <t>SAFS010C BLC Curncy</t>
  </si>
  <si>
    <t>SAFS010F BLC Curncy</t>
  </si>
  <si>
    <t>SAFS0101 BLC Curncy</t>
  </si>
  <si>
    <t>SAFS0102 BLC Curncy</t>
  </si>
  <si>
    <t>SAFS0103 BLC Curncy</t>
  </si>
  <si>
    <t>SAFS0104 BLC Curncy</t>
  </si>
  <si>
    <t>SAFS0105 BLC Curncy</t>
  </si>
  <si>
    <t>SAFS0110 BLC Curncy</t>
  </si>
  <si>
    <t>SAFS020C BLC Curncy</t>
  </si>
  <si>
    <t>SAFS020F BLC Curncy</t>
  </si>
  <si>
    <t>SAFS0201 BLC Curncy</t>
  </si>
  <si>
    <t>SAFS0202 BLC Curncy</t>
  </si>
  <si>
    <t>SAFS0203 BLC Curncy</t>
  </si>
  <si>
    <t>SAFS0204 BLC Curncy</t>
  </si>
  <si>
    <t>SAFS0205 BLC Curncy</t>
  </si>
  <si>
    <t>SAFS0210 BLC Curncy</t>
  </si>
  <si>
    <t>SAFS030C BLC Curncy</t>
  </si>
  <si>
    <t>SAFS030F BLC Curncy</t>
  </si>
  <si>
    <t>SAFS0301 BLC Curncy</t>
  </si>
  <si>
    <t>SAFS0302 BLC Curncy</t>
  </si>
  <si>
    <t>SAFS0303 BLC Curncy</t>
  </si>
  <si>
    <t>SAFS0304 BLC Curncy</t>
  </si>
  <si>
    <t>SAFS0305 BLC Curncy</t>
  </si>
  <si>
    <t>SAFS0310 BLC Curncy</t>
  </si>
  <si>
    <t>SAFS040C BLC Curncy</t>
  </si>
  <si>
    <t>SAFS040F BLC Curncy</t>
  </si>
  <si>
    <t>SAFS0401 BLC Curncy</t>
  </si>
  <si>
    <t>SAFS0402 BLC Curncy</t>
  </si>
  <si>
    <t>SAFS0403 BLC Curncy</t>
  </si>
  <si>
    <t>SAFS0404 BLC Curncy</t>
  </si>
  <si>
    <t>SAFS0405 BLC Curncy</t>
  </si>
  <si>
    <t>SAFS0410 BLC Curncy</t>
  </si>
  <si>
    <t>SAFS050C BLC Curncy</t>
  </si>
  <si>
    <t>SAFS050F BLC Curncy</t>
  </si>
  <si>
    <t>SAFS0501 BLC Curncy</t>
  </si>
  <si>
    <t>SAFS0502 BLC Curncy</t>
  </si>
  <si>
    <t>SAFS0503 BLC Curncy</t>
  </si>
  <si>
    <t>SAFS0504 BLC Curncy</t>
  </si>
  <si>
    <t>SAFS0505 BLC Curncy</t>
  </si>
  <si>
    <t>SAFS0510 BLC Curncy</t>
  </si>
  <si>
    <t>G0393 3M3M BLC2 Curncy</t>
  </si>
  <si>
    <t>G0393 3M6M BLC2 Curncy</t>
  </si>
  <si>
    <t>G0393 3M1Y BLC2 Curncy</t>
  </si>
  <si>
    <t>G0393 3M2Y BLC2 Curncy</t>
  </si>
  <si>
    <t>G0393 3M3Y BLC2 Curncy</t>
  </si>
  <si>
    <t>G0393 3M4Y BLC2 Curncy</t>
  </si>
  <si>
    <t>G0393 3M5Y BLC2 Curncy</t>
  </si>
  <si>
    <t>G0393 3M10Y BLC2 Curncy</t>
  </si>
  <si>
    <t>G0393 6M3M BLC2 Curncy</t>
  </si>
  <si>
    <t>G0393 6M6M BLC2 Curncy</t>
  </si>
  <si>
    <t>G0393 6M1Y BLC2 Curncy</t>
  </si>
  <si>
    <t>G0393 6M2Y BLC2 Curncy</t>
  </si>
  <si>
    <t>G0393 6M3Y BLC2 Curncy</t>
  </si>
  <si>
    <t>G0393 6M4Y BLC2 Curncy</t>
  </si>
  <si>
    <t>G0393 6M5Y BLC2 Curncy</t>
  </si>
  <si>
    <t>G0393 6M10Y BLC2 Curncy</t>
  </si>
  <si>
    <t>G0393 1Y3M BLC2 Curncy</t>
  </si>
  <si>
    <t>G0393 1Y6M BLC2 Curncy</t>
  </si>
  <si>
    <t>G0393 1Y1Y BLC2 Curncy</t>
  </si>
  <si>
    <t>G0393 1Y2Y BLC2 Curncy</t>
  </si>
  <si>
    <t>G0393 1Y3Y BLC2 Curncy</t>
  </si>
  <si>
    <t>G0393 1Y4Y BLC2 Curncy</t>
  </si>
  <si>
    <t>G0393 1Y5Y BLC2 Curncy</t>
  </si>
  <si>
    <t>G0393 1Y10Y BLC2 Curncy</t>
  </si>
  <si>
    <t>G0393 2Y3M BLC2 Curncy</t>
  </si>
  <si>
    <t>G0393 2Y6M BLC2 Curncy</t>
  </si>
  <si>
    <t>G0393 2Y1Y BLC2 Curncy</t>
  </si>
  <si>
    <t>G0393 2Y2Y BLC2 Curncy</t>
  </si>
  <si>
    <t>G0393 2Y3Y BLC2 Curncy</t>
  </si>
  <si>
    <t>G0393 2Y4Y BLC2 Curncy</t>
  </si>
  <si>
    <t>G0393 2Y5Y BLC2 Curncy</t>
  </si>
  <si>
    <t>G0393 2Y10Y BLC2 Curncy</t>
  </si>
  <si>
    <t>G0393 3Y3M BLC2 Curncy</t>
  </si>
  <si>
    <t>G0393 3Y6M BLC2 Curncy</t>
  </si>
  <si>
    <t>G0393 3Y1Y BLC2 Curncy</t>
  </si>
  <si>
    <t>G0393 3Y2Y BLC2 Curncy</t>
  </si>
  <si>
    <t>G0393 3Y3Y BLC2 Curncy</t>
  </si>
  <si>
    <t>G0393 3Y4Y BLC2 Curncy</t>
  </si>
  <si>
    <t>G0393 3Y5Y BLC2 Curncy</t>
  </si>
  <si>
    <t>G0393 3Y10Y BLC2 Curncy</t>
  </si>
  <si>
    <t>G0393 4Y3M BLC2 Curncy</t>
  </si>
  <si>
    <t>G0393 4Y6M BLC2 Curncy</t>
  </si>
  <si>
    <t>G0393 4Y1Y BLC2 Curncy</t>
  </si>
  <si>
    <t>G0393 4Y2Y BLC2 Curncy</t>
  </si>
  <si>
    <t>G0393 4Y3Y BLC2 Curncy</t>
  </si>
  <si>
    <t>G0393 4Y4Y BLC2 Curncy</t>
  </si>
  <si>
    <t>G0393 4Y5Y BLC2 Curncy</t>
  </si>
  <si>
    <t>G0393 4Y10Y BLC2 Curncy</t>
  </si>
  <si>
    <t>G0393 5Y3M BLC2 Curncy</t>
  </si>
  <si>
    <t>G0393 5Y6M BLC2 Curncy</t>
  </si>
  <si>
    <t>G0393 5Y1Y BLC2 Curncy</t>
  </si>
  <si>
    <t>G0393 5Y2Y BLC2 Curncy</t>
  </si>
  <si>
    <t>G0393 5Y3Y BLC2 Curncy</t>
  </si>
  <si>
    <t>G0393 5Y4Y BLC2 Curncy</t>
  </si>
  <si>
    <t>G0393 5Y5Y BLC2 Curncy</t>
  </si>
  <si>
    <t>G0393 5Y10Y BLC2 Curncy</t>
  </si>
  <si>
    <t>BZAD3M Index</t>
  </si>
  <si>
    <t>BZAD6M Index</t>
  </si>
  <si>
    <t>GEBR01Y Index</t>
  </si>
  <si>
    <t>GEBR02Y Index</t>
  </si>
  <si>
    <t>GEBR03Y Index</t>
  </si>
  <si>
    <t>GEBR04Y Index</t>
  </si>
  <si>
    <t>GEBR5Y Index</t>
  </si>
  <si>
    <t>GEBR10Y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</si>
</sst>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vertical="center"/>
    </xf>
    <xf numFmtId="0" fontId="1" fillId="0" borderId="0" xfId="0" applyFont="1" applyFill="1" applyBorder="1"/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/>
    <xf numFmtId="0" fontId="0" fillId="0" borderId="0" xfId="0" applyNumberFormat="1"/>
    <xf numFmtId="14" fontId="1" fillId="0" borderId="0" xfId="0" applyNumberFormat="1" applyFont="1" applyFill="1" applyBorder="1"/>
    <xf numFmtId="0" fontId="0" fillId="0" borderId="0" xfId="0"/>
    <xf numFmtId="0" fontId="1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0"/>
  <sheetViews>
    <sheetView tabSelected="1" workbookViewId="0">
      <selection activeCell="C7" sqref="C7"/>
    </sheetView>
  </sheetViews>
  <sheetFormatPr defaultRowHeight="14.4" x14ac:dyDescent="0.3"/>
  <sheetData>
    <row r="1" spans="1:2" x14ac:dyDescent="0.3">
      <c r="A1" t="s">
        <v>467</v>
      </c>
      <c r="B1" s="7" t="s">
        <v>1044</v>
      </c>
    </row>
    <row r="2" spans="1:2" x14ac:dyDescent="0.3">
      <c r="A2" s="8">
        <f>COUNTA(B:B)</f>
        <v>20</v>
      </c>
      <c r="B2" s="7" t="s">
        <v>1054</v>
      </c>
    </row>
    <row r="3" spans="1:2" x14ac:dyDescent="0.3">
      <c r="B3" s="7" t="s">
        <v>1046</v>
      </c>
    </row>
    <row r="4" spans="1:2" x14ac:dyDescent="0.3">
      <c r="B4" s="7" t="s">
        <v>1050</v>
      </c>
    </row>
    <row r="5" spans="1:2" x14ac:dyDescent="0.3">
      <c r="B5" s="7" t="s">
        <v>716</v>
      </c>
    </row>
    <row r="6" spans="1:2" x14ac:dyDescent="0.3">
      <c r="B6" s="7" t="s">
        <v>1049</v>
      </c>
    </row>
    <row r="7" spans="1:2" x14ac:dyDescent="0.3">
      <c r="B7" s="7" t="s">
        <v>1051</v>
      </c>
    </row>
    <row r="8" spans="1:2" x14ac:dyDescent="0.3">
      <c r="B8" s="7" t="s">
        <v>893</v>
      </c>
    </row>
    <row r="9" spans="1:2" x14ac:dyDescent="0.3">
      <c r="B9" s="7" t="s">
        <v>1047</v>
      </c>
    </row>
    <row r="10" spans="1:2" x14ac:dyDescent="0.3">
      <c r="B10" s="7" t="s">
        <v>1045</v>
      </c>
    </row>
    <row r="11" spans="1:2" x14ac:dyDescent="0.3">
      <c r="B11" s="7" t="s">
        <v>1052</v>
      </c>
    </row>
    <row r="12" spans="1:2" x14ac:dyDescent="0.3">
      <c r="B12" s="7" t="s">
        <v>1</v>
      </c>
    </row>
    <row r="13" spans="1:2" x14ac:dyDescent="0.3">
      <c r="B13" s="7" t="s">
        <v>1053</v>
      </c>
    </row>
    <row r="14" spans="1:2" x14ac:dyDescent="0.3">
      <c r="B14" s="7" t="s">
        <v>1043</v>
      </c>
    </row>
    <row r="15" spans="1:2" x14ac:dyDescent="0.3">
      <c r="B15" s="7" t="s">
        <v>1048</v>
      </c>
    </row>
    <row r="16" spans="1:2" x14ac:dyDescent="0.3">
      <c r="B16" s="7" t="s">
        <v>1042</v>
      </c>
    </row>
    <row r="17" spans="2:2" x14ac:dyDescent="0.3">
      <c r="B17" s="7" t="s">
        <v>595</v>
      </c>
    </row>
    <row r="18" spans="2:2" x14ac:dyDescent="0.3">
      <c r="B18" s="7" t="s">
        <v>1041</v>
      </c>
    </row>
    <row r="19" spans="2:2" x14ac:dyDescent="0.3">
      <c r="B19" s="7" t="s">
        <v>1040</v>
      </c>
    </row>
    <row r="20" spans="2:2" x14ac:dyDescent="0.3">
      <c r="B20" s="7" t="s">
        <v>1119</v>
      </c>
    </row>
  </sheetData>
  <sortState ref="B1:B20">
    <sortCondition ref="B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28"/>
  <sheetViews>
    <sheetView topLeftCell="A2" workbookViewId="0">
      <selection activeCell="H231" sqref="H231"/>
    </sheetView>
  </sheetViews>
  <sheetFormatPr defaultColWidth="8.77734375" defaultRowHeight="14.4" x14ac:dyDescent="0.3"/>
  <cols>
    <col min="1" max="2" width="8.77734375" style="4"/>
    <col min="3" max="3" width="23.109375" style="4" customWidth="1"/>
    <col min="4" max="5" width="24.5546875" style="4" customWidth="1"/>
    <col min="6" max="10" width="23.77734375" style="4" customWidth="1"/>
    <col min="11" max="16384" width="8.77734375" style="4"/>
  </cols>
  <sheetData>
    <row r="1" spans="1:10" s="1" customFormat="1" x14ac:dyDescent="0.3">
      <c r="A1" s="1" t="s">
        <v>0</v>
      </c>
      <c r="B1" s="2">
        <v>20070101</v>
      </c>
    </row>
    <row r="2" spans="1:10" s="1" customFormat="1" x14ac:dyDescent="0.3">
      <c r="A2" s="1" t="s">
        <v>1</v>
      </c>
      <c r="C2" s="1" t="str">
        <f>A2&amp;"Spot"</f>
        <v>KRWSpot</v>
      </c>
      <c r="D2" s="1" t="str">
        <f>$A2&amp;"Fwd3m"</f>
        <v>KRWFwd3m</v>
      </c>
      <c r="E2" s="1" t="str">
        <f>$A2&amp;"Fwd6m"</f>
        <v>KRWFwd6m</v>
      </c>
      <c r="F2" s="1" t="str">
        <f>$A2&amp;"Fwd1y"</f>
        <v>KRWFwd1y</v>
      </c>
      <c r="G2" s="1" t="str">
        <f>$A2&amp;"Fwd2y"</f>
        <v>KRWFwd2y</v>
      </c>
      <c r="H2" s="1" t="str">
        <f>$A2&amp;"Fwd3y"</f>
        <v>KRWFwd3y</v>
      </c>
      <c r="I2" s="1" t="str">
        <f>$A2&amp;"Fwd4y"</f>
        <v>KRWFwd4y</v>
      </c>
      <c r="J2" s="1" t="str">
        <f>$A2&amp;"Fwd5y"</f>
        <v>KRWFwd5y</v>
      </c>
    </row>
    <row r="3" spans="1:10" s="1" customFormat="1" x14ac:dyDescent="0.3">
      <c r="B3" s="1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</row>
    <row r="4" spans="1:10" s="1" customFormat="1" x14ac:dyDescent="0.3">
      <c r="B4" s="1" t="s">
        <v>11</v>
      </c>
      <c r="C4" s="3" t="s">
        <v>12</v>
      </c>
      <c r="D4" s="3" t="s">
        <v>13</v>
      </c>
      <c r="E4" s="3" t="s">
        <v>14</v>
      </c>
      <c r="F4" s="3" t="s">
        <v>15</v>
      </c>
      <c r="G4" s="3" t="s">
        <v>16</v>
      </c>
      <c r="H4" s="3" t="s">
        <v>17</v>
      </c>
      <c r="I4" s="3" t="s">
        <v>18</v>
      </c>
      <c r="J4" s="3" t="s">
        <v>19</v>
      </c>
    </row>
    <row r="5" spans="1:10" x14ac:dyDescent="0.3">
      <c r="B5" s="1" t="s">
        <v>20</v>
      </c>
      <c r="C5" s="3" t="s">
        <v>21</v>
      </c>
      <c r="D5" s="3" t="s">
        <v>22</v>
      </c>
      <c r="E5" s="3" t="s">
        <v>23</v>
      </c>
      <c r="F5" s="3" t="s">
        <v>24</v>
      </c>
      <c r="G5" s="3" t="s">
        <v>25</v>
      </c>
      <c r="H5" s="3" t="s">
        <v>26</v>
      </c>
      <c r="I5" s="3" t="s">
        <v>27</v>
      </c>
      <c r="J5" s="3" t="s">
        <v>28</v>
      </c>
    </row>
    <row r="6" spans="1:10" x14ac:dyDescent="0.3">
      <c r="B6" s="1" t="s">
        <v>29</v>
      </c>
      <c r="C6" s="3" t="s">
        <v>30</v>
      </c>
      <c r="D6" s="3" t="s">
        <v>31</v>
      </c>
      <c r="E6" s="3" t="s">
        <v>32</v>
      </c>
      <c r="F6" s="3" t="s">
        <v>33</v>
      </c>
      <c r="G6" s="3" t="s">
        <v>34</v>
      </c>
      <c r="H6" s="3" t="s">
        <v>35</v>
      </c>
      <c r="I6" s="3" t="s">
        <v>36</v>
      </c>
      <c r="J6" s="3" t="s">
        <v>37</v>
      </c>
    </row>
    <row r="7" spans="1:10" x14ac:dyDescent="0.3">
      <c r="B7" s="1" t="s">
        <v>38</v>
      </c>
      <c r="C7" s="3" t="s">
        <v>39</v>
      </c>
      <c r="D7" s="3" t="s">
        <v>40</v>
      </c>
      <c r="E7" s="3" t="s">
        <v>41</v>
      </c>
      <c r="F7" s="3" t="s">
        <v>42</v>
      </c>
      <c r="G7" s="3" t="s">
        <v>43</v>
      </c>
      <c r="H7" s="3" t="s">
        <v>44</v>
      </c>
      <c r="I7" s="3" t="s">
        <v>45</v>
      </c>
      <c r="J7" s="3" t="s">
        <v>46</v>
      </c>
    </row>
    <row r="8" spans="1:10" x14ac:dyDescent="0.3">
      <c r="B8" s="1" t="s">
        <v>47</v>
      </c>
      <c r="C8" s="3" t="s">
        <v>48</v>
      </c>
      <c r="D8" s="3" t="s">
        <v>49</v>
      </c>
      <c r="E8" s="3" t="s">
        <v>50</v>
      </c>
      <c r="F8" s="3" t="s">
        <v>51</v>
      </c>
      <c r="G8" s="3" t="s">
        <v>52</v>
      </c>
      <c r="H8" s="3" t="s">
        <v>53</v>
      </c>
      <c r="I8" s="3" t="s">
        <v>54</v>
      </c>
      <c r="J8" s="3" t="s">
        <v>55</v>
      </c>
    </row>
    <row r="9" spans="1:10" x14ac:dyDescent="0.3">
      <c r="B9" s="1" t="s">
        <v>56</v>
      </c>
      <c r="C9" s="3" t="s">
        <v>57</v>
      </c>
      <c r="D9" s="3" t="s">
        <v>58</v>
      </c>
      <c r="E9" s="3" t="s">
        <v>59</v>
      </c>
      <c r="F9" s="1" t="s">
        <v>60</v>
      </c>
      <c r="G9" s="3" t="s">
        <v>61</v>
      </c>
      <c r="H9" s="1" t="s">
        <v>62</v>
      </c>
      <c r="I9" s="1" t="s">
        <v>63</v>
      </c>
      <c r="J9" s="3" t="s">
        <v>64</v>
      </c>
    </row>
    <row r="13" spans="1:10" x14ac:dyDescent="0.3">
      <c r="A13" s="4" t="s">
        <v>1040</v>
      </c>
      <c r="C13" s="1" t="str">
        <f>A13&amp;"Spot"</f>
        <v>USDSpot</v>
      </c>
      <c r="D13" s="1" t="str">
        <f>$A13&amp;"Fwd3m"</f>
        <v>USDFwd3m</v>
      </c>
      <c r="E13" s="1" t="str">
        <f>$A13&amp;"Fwd6m"</f>
        <v>USDFwd6m</v>
      </c>
      <c r="F13" s="1" t="str">
        <f>$A13&amp;"Fwd1y"</f>
        <v>USDFwd1y</v>
      </c>
      <c r="G13" s="1" t="str">
        <f>$A13&amp;"Fwd2y"</f>
        <v>USDFwd2y</v>
      </c>
      <c r="H13" s="1" t="str">
        <f>$A13&amp;"Fwd3y"</f>
        <v>USDFwd3y</v>
      </c>
      <c r="I13" s="1" t="str">
        <f>$A13&amp;"Fwd4y"</f>
        <v>USDFwd4y</v>
      </c>
      <c r="J13" s="1" t="str">
        <f>$A13&amp;"Fwd5y"</f>
        <v>USDFwd5y</v>
      </c>
    </row>
    <row r="14" spans="1:10" x14ac:dyDescent="0.3">
      <c r="B14" s="4" t="s">
        <v>2</v>
      </c>
      <c r="C14" s="5" t="s">
        <v>65</v>
      </c>
      <c r="D14" s="5" t="s">
        <v>66</v>
      </c>
      <c r="E14" s="5" t="s">
        <v>67</v>
      </c>
      <c r="F14" s="5" t="s">
        <v>68</v>
      </c>
      <c r="G14" s="5" t="s">
        <v>69</v>
      </c>
      <c r="H14" s="5" t="s">
        <v>70</v>
      </c>
      <c r="I14" s="5" t="s">
        <v>71</v>
      </c>
      <c r="J14" s="5" t="s">
        <v>72</v>
      </c>
    </row>
    <row r="15" spans="1:10" x14ac:dyDescent="0.3">
      <c r="B15" s="4" t="s">
        <v>73</v>
      </c>
      <c r="C15" s="5" t="s">
        <v>74</v>
      </c>
      <c r="D15" s="5" t="s">
        <v>75</v>
      </c>
      <c r="E15" s="5" t="s">
        <v>76</v>
      </c>
      <c r="F15" s="5" t="s">
        <v>77</v>
      </c>
      <c r="G15" s="5" t="s">
        <v>78</v>
      </c>
      <c r="H15" s="5" t="s">
        <v>79</v>
      </c>
      <c r="I15" s="5" t="s">
        <v>80</v>
      </c>
      <c r="J15" s="5" t="s">
        <v>81</v>
      </c>
    </row>
    <row r="16" spans="1:10" x14ac:dyDescent="0.3">
      <c r="B16" s="4" t="s">
        <v>11</v>
      </c>
      <c r="C16" s="5" t="s">
        <v>82</v>
      </c>
      <c r="D16" s="5" t="s">
        <v>83</v>
      </c>
      <c r="E16" s="5" t="s">
        <v>84</v>
      </c>
      <c r="F16" s="5" t="s">
        <v>85</v>
      </c>
      <c r="G16" s="5" t="s">
        <v>86</v>
      </c>
      <c r="H16" s="5" t="s">
        <v>87</v>
      </c>
      <c r="I16" s="5" t="s">
        <v>88</v>
      </c>
      <c r="J16" s="5" t="s">
        <v>89</v>
      </c>
    </row>
    <row r="17" spans="1:10" x14ac:dyDescent="0.3">
      <c r="B17" s="4" t="s">
        <v>20</v>
      </c>
      <c r="C17" s="5" t="s">
        <v>90</v>
      </c>
      <c r="D17" s="5" t="s">
        <v>91</v>
      </c>
      <c r="E17" s="5" t="s">
        <v>92</v>
      </c>
      <c r="F17" s="5" t="s">
        <v>93</v>
      </c>
      <c r="G17" s="5" t="s">
        <v>94</v>
      </c>
      <c r="H17" s="5" t="s">
        <v>95</v>
      </c>
      <c r="I17" s="5" t="s">
        <v>96</v>
      </c>
      <c r="J17" s="5" t="s">
        <v>97</v>
      </c>
    </row>
    <row r="18" spans="1:10" x14ac:dyDescent="0.3">
      <c r="B18" s="4" t="s">
        <v>29</v>
      </c>
      <c r="C18" s="5" t="s">
        <v>98</v>
      </c>
      <c r="D18" s="5" t="s">
        <v>99</v>
      </c>
      <c r="E18" s="5" t="s">
        <v>100</v>
      </c>
      <c r="F18" s="5" t="s">
        <v>101</v>
      </c>
      <c r="G18" s="5" t="s">
        <v>102</v>
      </c>
      <c r="H18" s="5" t="s">
        <v>103</v>
      </c>
      <c r="I18" s="5" t="s">
        <v>104</v>
      </c>
      <c r="J18" s="5" t="s">
        <v>105</v>
      </c>
    </row>
    <row r="19" spans="1:10" x14ac:dyDescent="0.3">
      <c r="B19" s="4" t="s">
        <v>47</v>
      </c>
      <c r="C19" s="5" t="s">
        <v>106</v>
      </c>
      <c r="D19" s="5" t="s">
        <v>107</v>
      </c>
      <c r="E19" s="5" t="s">
        <v>108</v>
      </c>
      <c r="F19" s="5" t="s">
        <v>109</v>
      </c>
      <c r="G19" s="5" t="s">
        <v>110</v>
      </c>
      <c r="H19" s="5" t="s">
        <v>111</v>
      </c>
      <c r="I19" s="5" t="s">
        <v>112</v>
      </c>
      <c r="J19" s="5" t="s">
        <v>113</v>
      </c>
    </row>
    <row r="20" spans="1:10" x14ac:dyDescent="0.3">
      <c r="B20" s="4" t="s">
        <v>56</v>
      </c>
      <c r="C20" s="5" t="s">
        <v>114</v>
      </c>
      <c r="D20" s="5" t="s">
        <v>115</v>
      </c>
      <c r="E20" s="5" t="s">
        <v>116</v>
      </c>
      <c r="F20" s="5" t="s">
        <v>117</v>
      </c>
      <c r="G20" s="5" t="s">
        <v>118</v>
      </c>
      <c r="H20" s="5" t="s">
        <v>119</v>
      </c>
      <c r="I20" s="5" t="s">
        <v>120</v>
      </c>
      <c r="J20" s="5" t="s">
        <v>121</v>
      </c>
    </row>
    <row r="23" spans="1:10" x14ac:dyDescent="0.3">
      <c r="A23" s="4" t="s">
        <v>1042</v>
      </c>
      <c r="C23" s="1" t="str">
        <f>A23&amp;"Spot"</f>
        <v>SGDSpot</v>
      </c>
      <c r="D23" s="1" t="str">
        <f>$A23&amp;"Fwd3m"</f>
        <v>SGDFwd3m</v>
      </c>
      <c r="E23" s="1" t="str">
        <f>$A23&amp;"Fwd6m"</f>
        <v>SGDFwd6m</v>
      </c>
      <c r="F23" s="1" t="str">
        <f>$A23&amp;"Fwd1y"</f>
        <v>SGDFwd1y</v>
      </c>
      <c r="G23" s="1" t="str">
        <f>$A23&amp;"Fwd2y"</f>
        <v>SGDFwd2y</v>
      </c>
      <c r="H23" s="1" t="str">
        <f>$A23&amp;"Fwd3y"</f>
        <v>SGDFwd3y</v>
      </c>
      <c r="I23" s="1" t="str">
        <f>$A23&amp;"Fwd4y"</f>
        <v>SGDFwd4y</v>
      </c>
      <c r="J23" s="1" t="str">
        <f>$A23&amp;"Fwd5y"</f>
        <v>SGDFwd5y</v>
      </c>
    </row>
    <row r="24" spans="1:10" x14ac:dyDescent="0.3">
      <c r="B24" s="4" t="s">
        <v>2</v>
      </c>
      <c r="C24" s="5" t="s">
        <v>122</v>
      </c>
      <c r="D24" s="5" t="s">
        <v>123</v>
      </c>
      <c r="E24" s="5" t="s">
        <v>124</v>
      </c>
      <c r="F24" s="5" t="s">
        <v>125</v>
      </c>
      <c r="G24" s="5" t="s">
        <v>126</v>
      </c>
      <c r="H24" s="5" t="s">
        <v>127</v>
      </c>
      <c r="I24" s="5" t="s">
        <v>128</v>
      </c>
      <c r="J24" s="5" t="s">
        <v>129</v>
      </c>
    </row>
    <row r="25" spans="1:10" x14ac:dyDescent="0.3">
      <c r="B25" s="4" t="s">
        <v>73</v>
      </c>
      <c r="C25" s="5" t="s">
        <v>130</v>
      </c>
      <c r="D25" s="5" t="s">
        <v>131</v>
      </c>
      <c r="E25" s="5" t="s">
        <v>132</v>
      </c>
      <c r="F25" s="5" t="s">
        <v>133</v>
      </c>
      <c r="G25" s="5" t="s">
        <v>134</v>
      </c>
      <c r="H25" s="5" t="s">
        <v>135</v>
      </c>
      <c r="I25" s="5" t="s">
        <v>136</v>
      </c>
      <c r="J25" s="5" t="s">
        <v>137</v>
      </c>
    </row>
    <row r="26" spans="1:10" x14ac:dyDescent="0.3">
      <c r="B26" s="4" t="s">
        <v>11</v>
      </c>
      <c r="C26" s="5" t="s">
        <v>138</v>
      </c>
      <c r="D26" s="5" t="s">
        <v>139</v>
      </c>
      <c r="E26" s="5" t="s">
        <v>140</v>
      </c>
      <c r="F26" s="5" t="s">
        <v>141</v>
      </c>
      <c r="G26" s="5" t="s">
        <v>142</v>
      </c>
      <c r="H26" s="5" t="s">
        <v>143</v>
      </c>
      <c r="I26" s="5" t="s">
        <v>144</v>
      </c>
      <c r="J26" s="5" t="s">
        <v>145</v>
      </c>
    </row>
    <row r="27" spans="1:10" x14ac:dyDescent="0.3">
      <c r="B27" s="4" t="s">
        <v>20</v>
      </c>
      <c r="C27" s="5" t="s">
        <v>146</v>
      </c>
      <c r="D27" s="5" t="s">
        <v>147</v>
      </c>
      <c r="E27" s="5" t="s">
        <v>148</v>
      </c>
      <c r="F27" s="5" t="s">
        <v>149</v>
      </c>
      <c r="G27" s="5" t="s">
        <v>150</v>
      </c>
      <c r="H27" s="5" t="s">
        <v>151</v>
      </c>
      <c r="I27" s="5" t="s">
        <v>152</v>
      </c>
      <c r="J27" s="5" t="s">
        <v>153</v>
      </c>
    </row>
    <row r="28" spans="1:10" x14ac:dyDescent="0.3">
      <c r="B28" s="4" t="s">
        <v>29</v>
      </c>
      <c r="C28" s="5" t="s">
        <v>154</v>
      </c>
      <c r="D28" s="5" t="s">
        <v>155</v>
      </c>
      <c r="E28" s="5" t="s">
        <v>156</v>
      </c>
      <c r="F28" s="5" t="s">
        <v>157</v>
      </c>
      <c r="G28" s="5" t="s">
        <v>158</v>
      </c>
      <c r="H28" s="5" t="s">
        <v>159</v>
      </c>
      <c r="I28" s="5" t="s">
        <v>160</v>
      </c>
      <c r="J28" s="5" t="s">
        <v>161</v>
      </c>
    </row>
    <row r="29" spans="1:10" x14ac:dyDescent="0.3">
      <c r="B29" s="4" t="s">
        <v>38</v>
      </c>
      <c r="C29" s="5" t="s">
        <v>162</v>
      </c>
      <c r="D29" s="5" t="s">
        <v>163</v>
      </c>
      <c r="E29" s="5" t="s">
        <v>164</v>
      </c>
      <c r="F29" s="5" t="s">
        <v>165</v>
      </c>
      <c r="G29" s="5" t="s">
        <v>166</v>
      </c>
      <c r="H29" s="5" t="s">
        <v>167</v>
      </c>
      <c r="I29" s="5" t="s">
        <v>168</v>
      </c>
      <c r="J29" s="5" t="s">
        <v>169</v>
      </c>
    </row>
    <row r="30" spans="1:10" x14ac:dyDescent="0.3">
      <c r="B30" s="4" t="s">
        <v>47</v>
      </c>
      <c r="C30" s="5" t="s">
        <v>170</v>
      </c>
      <c r="D30" s="5" t="s">
        <v>171</v>
      </c>
      <c r="E30" s="5" t="s">
        <v>172</v>
      </c>
      <c r="F30" s="5" t="s">
        <v>173</v>
      </c>
      <c r="G30" s="5" t="s">
        <v>174</v>
      </c>
      <c r="H30" s="5" t="s">
        <v>175</v>
      </c>
      <c r="I30" s="5" t="s">
        <v>176</v>
      </c>
      <c r="J30" s="5" t="s">
        <v>177</v>
      </c>
    </row>
    <row r="31" spans="1:10" x14ac:dyDescent="0.3">
      <c r="B31" s="4" t="s">
        <v>56</v>
      </c>
      <c r="C31" s="5" t="s">
        <v>178</v>
      </c>
      <c r="D31" s="5" t="s">
        <v>179</v>
      </c>
      <c r="E31" s="5" t="s">
        <v>180</v>
      </c>
      <c r="F31" t="s">
        <v>181</v>
      </c>
      <c r="G31" s="5" t="s">
        <v>182</v>
      </c>
      <c r="H31" s="5" t="s">
        <v>183</v>
      </c>
      <c r="I31" s="5" t="s">
        <v>184</v>
      </c>
      <c r="J31" s="5" t="s">
        <v>185</v>
      </c>
    </row>
    <row r="35" spans="1:10" x14ac:dyDescent="0.3">
      <c r="A35" s="4" t="s">
        <v>1043</v>
      </c>
      <c r="C35" s="1" t="str">
        <f>A35&amp;"Spot"</f>
        <v>MYRSpot</v>
      </c>
      <c r="D35" s="1" t="str">
        <f>$A35&amp;"Fwd3m"</f>
        <v>MYRFwd3m</v>
      </c>
      <c r="E35" s="1" t="str">
        <f>$A35&amp;"Fwd6m"</f>
        <v>MYRFwd6m</v>
      </c>
      <c r="F35" s="1" t="str">
        <f>$A35&amp;"Fwd1y"</f>
        <v>MYRFwd1y</v>
      </c>
      <c r="G35" s="1" t="str">
        <f>$A35&amp;"Fwd2y"</f>
        <v>MYRFwd2y</v>
      </c>
      <c r="H35" s="1" t="str">
        <f>$A35&amp;"Fwd3y"</f>
        <v>MYRFwd3y</v>
      </c>
      <c r="I35" s="1" t="str">
        <f>$A35&amp;"Fwd4y"</f>
        <v>MYRFwd4y</v>
      </c>
      <c r="J35" s="1" t="str">
        <f>$A35&amp;"Fwd5y"</f>
        <v>MYRFwd5y</v>
      </c>
    </row>
    <row r="36" spans="1:10" x14ac:dyDescent="0.3">
      <c r="B36" s="4" t="s">
        <v>2</v>
      </c>
      <c r="C36" s="5" t="s">
        <v>186</v>
      </c>
      <c r="D36" s="5" t="s">
        <v>187</v>
      </c>
      <c r="E36" s="5" t="s">
        <v>188</v>
      </c>
      <c r="F36" s="5" t="s">
        <v>189</v>
      </c>
      <c r="G36" s="5" t="s">
        <v>190</v>
      </c>
      <c r="H36" s="5" t="s">
        <v>191</v>
      </c>
      <c r="I36" s="5" t="s">
        <v>192</v>
      </c>
      <c r="J36" s="5" t="s">
        <v>193</v>
      </c>
    </row>
    <row r="37" spans="1:10" x14ac:dyDescent="0.3">
      <c r="B37" s="4" t="s">
        <v>73</v>
      </c>
      <c r="C37" s="5" t="s">
        <v>194</v>
      </c>
      <c r="D37" s="5" t="s">
        <v>195</v>
      </c>
      <c r="E37" s="5" t="s">
        <v>196</v>
      </c>
      <c r="F37" s="5" t="s">
        <v>197</v>
      </c>
      <c r="G37" s="5" t="s">
        <v>198</v>
      </c>
      <c r="H37" s="5" t="s">
        <v>199</v>
      </c>
      <c r="I37" s="5" t="s">
        <v>200</v>
      </c>
      <c r="J37" s="5" t="s">
        <v>201</v>
      </c>
    </row>
    <row r="38" spans="1:10" x14ac:dyDescent="0.3">
      <c r="B38" s="4" t="s">
        <v>11</v>
      </c>
      <c r="C38" s="5" t="s">
        <v>202</v>
      </c>
      <c r="D38" s="5" t="s">
        <v>203</v>
      </c>
      <c r="E38" s="5" t="s">
        <v>204</v>
      </c>
      <c r="F38" s="5" t="s">
        <v>205</v>
      </c>
      <c r="G38" s="5" t="s">
        <v>206</v>
      </c>
      <c r="H38" s="5" t="s">
        <v>207</v>
      </c>
      <c r="I38" s="5" t="s">
        <v>208</v>
      </c>
      <c r="J38" s="5" t="s">
        <v>209</v>
      </c>
    </row>
    <row r="39" spans="1:10" x14ac:dyDescent="0.3">
      <c r="B39" s="4" t="s">
        <v>20</v>
      </c>
      <c r="C39" s="5" t="s">
        <v>210</v>
      </c>
      <c r="D39" s="5" t="s">
        <v>211</v>
      </c>
      <c r="E39" s="5" t="s">
        <v>212</v>
      </c>
      <c r="F39" s="5" t="s">
        <v>213</v>
      </c>
      <c r="G39" s="5" t="s">
        <v>214</v>
      </c>
      <c r="H39" s="5" t="s">
        <v>215</v>
      </c>
      <c r="I39" s="5" t="s">
        <v>216</v>
      </c>
      <c r="J39" s="5" t="s">
        <v>217</v>
      </c>
    </row>
    <row r="40" spans="1:10" x14ac:dyDescent="0.3">
      <c r="B40" s="4" t="s">
        <v>29</v>
      </c>
      <c r="C40" s="5" t="s">
        <v>218</v>
      </c>
      <c r="D40" s="5" t="s">
        <v>219</v>
      </c>
      <c r="E40" s="5" t="s">
        <v>220</v>
      </c>
      <c r="F40" s="5" t="s">
        <v>221</v>
      </c>
      <c r="G40" s="5" t="s">
        <v>222</v>
      </c>
      <c r="H40" s="5" t="s">
        <v>223</v>
      </c>
      <c r="I40" s="5" t="s">
        <v>224</v>
      </c>
      <c r="J40" s="5" t="s">
        <v>225</v>
      </c>
    </row>
    <row r="41" spans="1:10" x14ac:dyDescent="0.3">
      <c r="B41" s="4" t="s">
        <v>47</v>
      </c>
      <c r="C41" s="5" t="s">
        <v>226</v>
      </c>
      <c r="D41" s="5" t="s">
        <v>227</v>
      </c>
      <c r="E41" s="5" t="s">
        <v>228</v>
      </c>
      <c r="F41" s="5" t="s">
        <v>229</v>
      </c>
      <c r="G41" s="5" t="s">
        <v>230</v>
      </c>
      <c r="H41" s="5" t="s">
        <v>231</v>
      </c>
      <c r="I41" s="5" t="s">
        <v>232</v>
      </c>
      <c r="J41" s="5" t="s">
        <v>233</v>
      </c>
    </row>
    <row r="42" spans="1:10" x14ac:dyDescent="0.3">
      <c r="B42" s="4" t="s">
        <v>56</v>
      </c>
      <c r="C42" s="5" t="s">
        <v>234</v>
      </c>
      <c r="D42" s="5" t="s">
        <v>235</v>
      </c>
      <c r="E42" s="5" t="s">
        <v>236</v>
      </c>
      <c r="F42" s="5" t="s">
        <v>237</v>
      </c>
      <c r="G42" s="5" t="s">
        <v>238</v>
      </c>
      <c r="H42" s="5" t="s">
        <v>239</v>
      </c>
      <c r="I42" s="5" t="s">
        <v>240</v>
      </c>
      <c r="J42" s="5" t="s">
        <v>241</v>
      </c>
    </row>
    <row r="45" spans="1:10" x14ac:dyDescent="0.3">
      <c r="A45" s="4" t="s">
        <v>1046</v>
      </c>
      <c r="C45" s="1" t="str">
        <f>A45&amp;"Spot"</f>
        <v>CNHSpot</v>
      </c>
      <c r="D45" s="1" t="str">
        <f>$A45&amp;"Fwd3m"</f>
        <v>CNHFwd3m</v>
      </c>
      <c r="E45" s="1" t="str">
        <f>$A45&amp;"Fwd6m"</f>
        <v>CNHFwd6m</v>
      </c>
      <c r="F45" s="1" t="str">
        <f>$A45&amp;"Fwd1y"</f>
        <v>CNHFwd1y</v>
      </c>
      <c r="G45" s="1" t="str">
        <f>$A45&amp;"Fwd2y"</f>
        <v>CNHFwd2y</v>
      </c>
      <c r="H45" s="1" t="str">
        <f>$A45&amp;"Fwd3y"</f>
        <v>CNHFwd3y</v>
      </c>
      <c r="I45" s="1" t="str">
        <f>$A45&amp;"Fwd4y"</f>
        <v>CNHFwd4y</v>
      </c>
      <c r="J45" s="1" t="str">
        <f>$A45&amp;"Fwd5y"</f>
        <v>CNHFwd5y</v>
      </c>
    </row>
    <row r="46" spans="1:10" x14ac:dyDescent="0.3">
      <c r="B46" s="4" t="s">
        <v>2</v>
      </c>
      <c r="C46" s="5" t="s">
        <v>242</v>
      </c>
      <c r="D46" s="5" t="s">
        <v>243</v>
      </c>
      <c r="E46" s="5" t="s">
        <v>244</v>
      </c>
      <c r="F46" s="6" t="s">
        <v>245</v>
      </c>
      <c r="G46" s="5" t="s">
        <v>246</v>
      </c>
      <c r="H46" s="5" t="s">
        <v>247</v>
      </c>
      <c r="I46" s="5" t="s">
        <v>248</v>
      </c>
      <c r="J46" s="5" t="s">
        <v>249</v>
      </c>
    </row>
    <row r="47" spans="1:10" x14ac:dyDescent="0.3">
      <c r="B47" s="4" t="s">
        <v>73</v>
      </c>
      <c r="C47" s="5" t="s">
        <v>250</v>
      </c>
      <c r="D47" s="5" t="s">
        <v>251</v>
      </c>
      <c r="E47" s="5" t="s">
        <v>252</v>
      </c>
      <c r="F47" s="5" t="s">
        <v>253</v>
      </c>
      <c r="G47" s="5" t="s">
        <v>254</v>
      </c>
      <c r="H47" s="5" t="s">
        <v>255</v>
      </c>
      <c r="I47" s="5" t="s">
        <v>256</v>
      </c>
      <c r="J47" s="5" t="s">
        <v>257</v>
      </c>
    </row>
    <row r="48" spans="1:10" x14ac:dyDescent="0.3">
      <c r="B48" s="4" t="s">
        <v>11</v>
      </c>
      <c r="C48" s="5" t="s">
        <v>258</v>
      </c>
      <c r="D48" s="5" t="s">
        <v>259</v>
      </c>
      <c r="E48" s="5" t="s">
        <v>260</v>
      </c>
      <c r="F48" s="5" t="s">
        <v>261</v>
      </c>
      <c r="G48" s="5" t="s">
        <v>262</v>
      </c>
      <c r="H48" s="5" t="s">
        <v>263</v>
      </c>
      <c r="I48" s="5" t="s">
        <v>264</v>
      </c>
      <c r="J48" s="5" t="s">
        <v>265</v>
      </c>
    </row>
    <row r="49" spans="1:10" x14ac:dyDescent="0.3">
      <c r="B49" s="4" t="s">
        <v>20</v>
      </c>
      <c r="C49" s="5" t="s">
        <v>266</v>
      </c>
      <c r="D49" s="5" t="s">
        <v>267</v>
      </c>
      <c r="E49" s="5" t="s">
        <v>268</v>
      </c>
      <c r="F49" s="5" t="s">
        <v>269</v>
      </c>
      <c r="G49" s="5" t="s">
        <v>270</v>
      </c>
      <c r="H49" s="5" t="s">
        <v>271</v>
      </c>
      <c r="I49" s="5" t="s">
        <v>272</v>
      </c>
      <c r="J49" s="5" t="s">
        <v>273</v>
      </c>
    </row>
    <row r="50" spans="1:10" x14ac:dyDescent="0.3">
      <c r="B50" s="4" t="s">
        <v>29</v>
      </c>
      <c r="C50" s="5" t="s">
        <v>274</v>
      </c>
      <c r="D50" s="5" t="s">
        <v>275</v>
      </c>
      <c r="E50" s="5" t="s">
        <v>276</v>
      </c>
      <c r="F50" s="5" t="s">
        <v>277</v>
      </c>
      <c r="G50" s="5" t="s">
        <v>278</v>
      </c>
      <c r="H50" s="5" t="s">
        <v>279</v>
      </c>
      <c r="I50" s="5" t="s">
        <v>280</v>
      </c>
      <c r="J50" s="5" t="s">
        <v>281</v>
      </c>
    </row>
    <row r="51" spans="1:10" x14ac:dyDescent="0.3">
      <c r="B51" s="4" t="s">
        <v>38</v>
      </c>
      <c r="C51" s="5" t="s">
        <v>282</v>
      </c>
      <c r="D51" s="5" t="s">
        <v>283</v>
      </c>
      <c r="E51" s="5" t="s">
        <v>284</v>
      </c>
      <c r="F51" s="5" t="s">
        <v>285</v>
      </c>
      <c r="G51" s="5" t="s">
        <v>286</v>
      </c>
      <c r="H51" s="5" t="s">
        <v>287</v>
      </c>
      <c r="I51" s="5" t="s">
        <v>288</v>
      </c>
      <c r="J51" s="5" t="s">
        <v>289</v>
      </c>
    </row>
    <row r="52" spans="1:10" x14ac:dyDescent="0.3">
      <c r="B52" s="4" t="s">
        <v>47</v>
      </c>
      <c r="C52" s="5" t="s">
        <v>290</v>
      </c>
      <c r="D52" s="5" t="s">
        <v>291</v>
      </c>
      <c r="E52" s="5" t="s">
        <v>292</v>
      </c>
      <c r="F52" s="5" t="s">
        <v>293</v>
      </c>
      <c r="G52" s="5" t="s">
        <v>294</v>
      </c>
      <c r="H52" s="5" t="s">
        <v>295</v>
      </c>
      <c r="I52" s="5" t="s">
        <v>296</v>
      </c>
      <c r="J52" s="5" t="s">
        <v>297</v>
      </c>
    </row>
    <row r="53" spans="1:10" x14ac:dyDescent="0.3">
      <c r="B53" s="4" t="s">
        <v>56</v>
      </c>
      <c r="C53" s="5" t="s">
        <v>298</v>
      </c>
      <c r="D53" s="5" t="s">
        <v>299</v>
      </c>
      <c r="E53" s="5" t="s">
        <v>300</v>
      </c>
      <c r="F53" s="5" t="s">
        <v>301</v>
      </c>
      <c r="G53" s="5" t="s">
        <v>302</v>
      </c>
      <c r="H53" t="s">
        <v>303</v>
      </c>
      <c r="I53" s="5" t="s">
        <v>304</v>
      </c>
      <c r="J53" t="s">
        <v>305</v>
      </c>
    </row>
    <row r="57" spans="1:10" x14ac:dyDescent="0.3">
      <c r="A57" s="4" t="s">
        <v>1041</v>
      </c>
      <c r="C57" s="1" t="str">
        <f>A57&amp;"Spot"</f>
        <v>TWDSpot</v>
      </c>
      <c r="D57" s="1" t="str">
        <f>$A57&amp;"Fwd3m"</f>
        <v>TWDFwd3m</v>
      </c>
      <c r="E57" s="1" t="str">
        <f>$A57&amp;"Fwd6m"</f>
        <v>TWDFwd6m</v>
      </c>
      <c r="F57" s="1" t="str">
        <f>$A57&amp;"Fwd1y"</f>
        <v>TWDFwd1y</v>
      </c>
      <c r="G57" s="1" t="str">
        <f>$A57&amp;"Fwd2y"</f>
        <v>TWDFwd2y</v>
      </c>
      <c r="H57" s="1" t="str">
        <f>$A57&amp;"Fwd3y"</f>
        <v>TWDFwd3y</v>
      </c>
      <c r="I57" s="1" t="str">
        <f>$A57&amp;"Fwd4y"</f>
        <v>TWDFwd4y</v>
      </c>
      <c r="J57" s="1" t="str">
        <f>$A57&amp;"Fwd5y"</f>
        <v>TWDFwd5y</v>
      </c>
    </row>
    <row r="58" spans="1:10" x14ac:dyDescent="0.3">
      <c r="B58" s="4" t="s">
        <v>2</v>
      </c>
      <c r="C58" s="5" t="s">
        <v>306</v>
      </c>
      <c r="D58" s="5" t="s">
        <v>307</v>
      </c>
      <c r="E58" s="6" t="s">
        <v>308</v>
      </c>
      <c r="F58" s="5" t="s">
        <v>309</v>
      </c>
      <c r="G58" s="5" t="s">
        <v>310</v>
      </c>
      <c r="H58" s="5" t="s">
        <v>311</v>
      </c>
      <c r="I58" s="5" t="s">
        <v>312</v>
      </c>
      <c r="J58" s="5" t="s">
        <v>313</v>
      </c>
    </row>
    <row r="59" spans="1:10" x14ac:dyDescent="0.3">
      <c r="B59" s="4" t="s">
        <v>73</v>
      </c>
      <c r="C59" s="5" t="s">
        <v>314</v>
      </c>
      <c r="D59" s="5" t="s">
        <v>315</v>
      </c>
      <c r="E59" s="5" t="s">
        <v>316</v>
      </c>
      <c r="F59" s="5" t="s">
        <v>317</v>
      </c>
      <c r="G59" s="5" t="s">
        <v>318</v>
      </c>
      <c r="H59" s="5" t="s">
        <v>319</v>
      </c>
      <c r="I59" s="5" t="s">
        <v>320</v>
      </c>
      <c r="J59" s="5" t="s">
        <v>321</v>
      </c>
    </row>
    <row r="60" spans="1:10" x14ac:dyDescent="0.3">
      <c r="B60" s="4" t="s">
        <v>29</v>
      </c>
      <c r="C60" s="5" t="s">
        <v>322</v>
      </c>
      <c r="D60" s="5" t="s">
        <v>323</v>
      </c>
      <c r="E60" s="5" t="s">
        <v>324</v>
      </c>
      <c r="F60" s="5" t="s">
        <v>325</v>
      </c>
      <c r="G60" s="5" t="s">
        <v>326</v>
      </c>
      <c r="H60" s="5" t="s">
        <v>327</v>
      </c>
      <c r="I60" s="5" t="s">
        <v>328</v>
      </c>
      <c r="J60" s="5" t="s">
        <v>329</v>
      </c>
    </row>
    <row r="61" spans="1:10" x14ac:dyDescent="0.3">
      <c r="B61" s="4" t="s">
        <v>47</v>
      </c>
      <c r="C61" s="5" t="s">
        <v>330</v>
      </c>
      <c r="D61" s="5" t="s">
        <v>331</v>
      </c>
      <c r="E61" s="5" t="s">
        <v>332</v>
      </c>
      <c r="F61" s="5" t="s">
        <v>333</v>
      </c>
      <c r="G61" s="5" t="s">
        <v>334</v>
      </c>
      <c r="H61" s="5" t="s">
        <v>335</v>
      </c>
      <c r="I61" s="5" t="s">
        <v>336</v>
      </c>
      <c r="J61" s="5" t="s">
        <v>337</v>
      </c>
    </row>
    <row r="62" spans="1:10" x14ac:dyDescent="0.3">
      <c r="B62" s="4" t="s">
        <v>56</v>
      </c>
      <c r="C62" t="s">
        <v>338</v>
      </c>
      <c r="D62" t="s">
        <v>339</v>
      </c>
      <c r="E62" s="5" t="s">
        <v>340</v>
      </c>
      <c r="F62" s="5" t="s">
        <v>341</v>
      </c>
      <c r="G62" s="5" t="s">
        <v>342</v>
      </c>
      <c r="H62" s="5" t="s">
        <v>343</v>
      </c>
      <c r="I62" t="s">
        <v>344</v>
      </c>
      <c r="J62" s="5" t="s">
        <v>345</v>
      </c>
    </row>
    <row r="66" spans="1:10" x14ac:dyDescent="0.3">
      <c r="A66" s="4" t="s">
        <v>1045</v>
      </c>
      <c r="C66" s="1" t="str">
        <f>A66&amp;"Spot"</f>
        <v>INRSpot</v>
      </c>
      <c r="D66" s="1" t="str">
        <f>$A66&amp;"Fwd3m"</f>
        <v>INRFwd3m</v>
      </c>
      <c r="E66" s="1" t="str">
        <f>$A66&amp;"Fwd6m"</f>
        <v>INRFwd6m</v>
      </c>
      <c r="F66" s="1" t="str">
        <f>$A66&amp;"Fwd1y"</f>
        <v>INRFwd1y</v>
      </c>
      <c r="G66" s="1" t="str">
        <f>$A66&amp;"Fwd2y"</f>
        <v>INRFwd2y</v>
      </c>
      <c r="H66" s="1" t="str">
        <f>$A66&amp;"Fwd3y"</f>
        <v>INRFwd3y</v>
      </c>
      <c r="I66" s="1" t="str">
        <f>$A66&amp;"Fwd4y"</f>
        <v>INRFwd4y</v>
      </c>
      <c r="J66" s="1" t="str">
        <f>$A66&amp;"Fwd5y"</f>
        <v>INRFwd5y</v>
      </c>
    </row>
    <row r="67" spans="1:10" x14ac:dyDescent="0.3">
      <c r="B67" s="4" t="s">
        <v>2</v>
      </c>
      <c r="C67" s="5" t="s">
        <v>346</v>
      </c>
      <c r="D67" s="5" t="s">
        <v>347</v>
      </c>
      <c r="E67" s="5" t="s">
        <v>348</v>
      </c>
      <c r="F67" s="6" t="s">
        <v>349</v>
      </c>
      <c r="G67" s="5" t="s">
        <v>350</v>
      </c>
      <c r="H67" s="5" t="s">
        <v>351</v>
      </c>
      <c r="I67" s="5" t="s">
        <v>352</v>
      </c>
      <c r="J67" s="5" t="s">
        <v>353</v>
      </c>
    </row>
    <row r="68" spans="1:10" x14ac:dyDescent="0.3">
      <c r="B68" s="4" t="s">
        <v>73</v>
      </c>
      <c r="C68" s="5" t="s">
        <v>354</v>
      </c>
      <c r="D68" s="5" t="s">
        <v>355</v>
      </c>
      <c r="E68" s="5" t="s">
        <v>356</v>
      </c>
      <c r="F68" s="5" t="s">
        <v>357</v>
      </c>
      <c r="G68" s="5" t="s">
        <v>358</v>
      </c>
      <c r="H68" s="5" t="s">
        <v>359</v>
      </c>
      <c r="I68" s="5" t="s">
        <v>360</v>
      </c>
      <c r="J68" s="5" t="s">
        <v>361</v>
      </c>
    </row>
    <row r="69" spans="1:10" x14ac:dyDescent="0.3">
      <c r="B69" s="4" t="s">
        <v>11</v>
      </c>
      <c r="C69" s="5" t="s">
        <v>362</v>
      </c>
      <c r="D69" s="5" t="s">
        <v>363</v>
      </c>
      <c r="E69" s="5" t="s">
        <v>364</v>
      </c>
      <c r="F69" s="5" t="s">
        <v>365</v>
      </c>
      <c r="G69" s="5" t="s">
        <v>366</v>
      </c>
      <c r="H69" s="5" t="s">
        <v>367</v>
      </c>
      <c r="I69" s="5" t="s">
        <v>368</v>
      </c>
      <c r="J69" s="5" t="s">
        <v>369</v>
      </c>
    </row>
    <row r="70" spans="1:10" x14ac:dyDescent="0.3">
      <c r="B70" s="4" t="s">
        <v>20</v>
      </c>
      <c r="C70" s="5" t="s">
        <v>370</v>
      </c>
      <c r="D70" s="5" t="s">
        <v>371</v>
      </c>
      <c r="E70" s="5" t="s">
        <v>372</v>
      </c>
      <c r="F70" s="5" t="s">
        <v>373</v>
      </c>
      <c r="G70" s="5" t="s">
        <v>374</v>
      </c>
      <c r="H70" s="5" t="s">
        <v>375</v>
      </c>
      <c r="I70" s="5" t="s">
        <v>376</v>
      </c>
      <c r="J70" s="5" t="s">
        <v>377</v>
      </c>
    </row>
    <row r="71" spans="1:10" x14ac:dyDescent="0.3">
      <c r="B71" s="4" t="s">
        <v>29</v>
      </c>
      <c r="C71" s="5" t="s">
        <v>378</v>
      </c>
      <c r="D71" s="5" t="s">
        <v>379</v>
      </c>
      <c r="E71" s="5" t="s">
        <v>380</v>
      </c>
      <c r="F71" s="5" t="s">
        <v>381</v>
      </c>
      <c r="G71" s="5" t="s">
        <v>382</v>
      </c>
      <c r="H71" s="5" t="s">
        <v>383</v>
      </c>
      <c r="I71" s="5" t="s">
        <v>384</v>
      </c>
      <c r="J71" s="5" t="s">
        <v>385</v>
      </c>
    </row>
    <row r="72" spans="1:10" x14ac:dyDescent="0.3">
      <c r="B72" s="4" t="s">
        <v>38</v>
      </c>
      <c r="C72" s="5" t="s">
        <v>386</v>
      </c>
      <c r="D72" s="5" t="s">
        <v>387</v>
      </c>
      <c r="E72" s="5" t="s">
        <v>388</v>
      </c>
      <c r="F72" s="5" t="s">
        <v>389</v>
      </c>
      <c r="G72" s="5" t="s">
        <v>390</v>
      </c>
      <c r="H72" s="5" t="s">
        <v>391</v>
      </c>
      <c r="I72" s="5" t="s">
        <v>392</v>
      </c>
      <c r="J72" s="5" t="s">
        <v>393</v>
      </c>
    </row>
    <row r="73" spans="1:10" x14ac:dyDescent="0.3">
      <c r="B73" s="4" t="s">
        <v>47</v>
      </c>
      <c r="C73" s="5" t="s">
        <v>394</v>
      </c>
      <c r="D73" s="5" t="s">
        <v>395</v>
      </c>
      <c r="E73" s="5" t="s">
        <v>396</v>
      </c>
      <c r="F73" s="5" t="s">
        <v>397</v>
      </c>
      <c r="G73" s="5" t="s">
        <v>398</v>
      </c>
      <c r="H73" s="5" t="s">
        <v>399</v>
      </c>
      <c r="I73" s="5" t="s">
        <v>400</v>
      </c>
      <c r="J73" s="5" t="s">
        <v>401</v>
      </c>
    </row>
    <row r="74" spans="1:10" x14ac:dyDescent="0.3">
      <c r="B74" s="4" t="s">
        <v>56</v>
      </c>
      <c r="C74" s="5" t="s">
        <v>402</v>
      </c>
      <c r="D74" s="5" t="s">
        <v>403</v>
      </c>
      <c r="E74" s="5" t="s">
        <v>404</v>
      </c>
      <c r="F74" s="5" t="s">
        <v>405</v>
      </c>
      <c r="G74" s="5" t="s">
        <v>406</v>
      </c>
      <c r="H74" t="s">
        <v>407</v>
      </c>
      <c r="I74" t="s">
        <v>408</v>
      </c>
      <c r="J74" s="5" t="s">
        <v>409</v>
      </c>
    </row>
    <row r="78" spans="1:10" x14ac:dyDescent="0.3">
      <c r="A78" s="4" t="s">
        <v>1044</v>
      </c>
      <c r="C78" s="1" t="str">
        <f>A78&amp;"Spot"</f>
        <v>AUDSpot</v>
      </c>
      <c r="D78" s="1" t="str">
        <f>$A78&amp;"Fwd3m"</f>
        <v>AUDFwd3m</v>
      </c>
      <c r="E78" s="1" t="str">
        <f>$A78&amp;"Fwd6m"</f>
        <v>AUDFwd6m</v>
      </c>
      <c r="F78" s="1" t="str">
        <f>$A78&amp;"Fwd1y"</f>
        <v>AUDFwd1y</v>
      </c>
      <c r="G78" s="1" t="str">
        <f>$A78&amp;"Fwd2y"</f>
        <v>AUDFwd2y</v>
      </c>
      <c r="H78" s="1" t="str">
        <f>$A78&amp;"Fwd3y"</f>
        <v>AUDFwd3y</v>
      </c>
      <c r="I78" s="1" t="str">
        <f>$A78&amp;"Fwd4y"</f>
        <v>AUDFwd4y</v>
      </c>
      <c r="J78" s="1" t="str">
        <f>$A78&amp;"Fwd5y"</f>
        <v>AUDFwd5y</v>
      </c>
    </row>
    <row r="79" spans="1:10" x14ac:dyDescent="0.3">
      <c r="B79" s="4" t="s">
        <v>2</v>
      </c>
      <c r="C79" s="4" t="s">
        <v>410</v>
      </c>
      <c r="D79" s="4" t="s">
        <v>411</v>
      </c>
      <c r="E79" s="4" t="s">
        <v>412</v>
      </c>
      <c r="F79" s="4" t="s">
        <v>413</v>
      </c>
      <c r="G79" s="4" t="s">
        <v>414</v>
      </c>
      <c r="H79" s="4" t="s">
        <v>415</v>
      </c>
      <c r="I79" s="4" t="s">
        <v>416</v>
      </c>
      <c r="J79" s="4" t="s">
        <v>417</v>
      </c>
    </row>
    <row r="80" spans="1:10" x14ac:dyDescent="0.3">
      <c r="B80" s="4" t="s">
        <v>11</v>
      </c>
      <c r="C80" s="4" t="s">
        <v>418</v>
      </c>
      <c r="D80" s="4" t="s">
        <v>419</v>
      </c>
      <c r="E80" s="4" t="s">
        <v>420</v>
      </c>
      <c r="F80" s="4" t="s">
        <v>421</v>
      </c>
      <c r="G80" s="4" t="s">
        <v>422</v>
      </c>
      <c r="H80" s="4" t="s">
        <v>423</v>
      </c>
      <c r="I80" s="4" t="s">
        <v>424</v>
      </c>
      <c r="J80" s="4" t="s">
        <v>425</v>
      </c>
    </row>
    <row r="81" spans="1:10" x14ac:dyDescent="0.3">
      <c r="B81" s="4" t="s">
        <v>20</v>
      </c>
      <c r="C81" s="4" t="s">
        <v>426</v>
      </c>
      <c r="D81" s="4" t="s">
        <v>427</v>
      </c>
      <c r="E81" s="4" t="s">
        <v>428</v>
      </c>
      <c r="F81" s="4" t="s">
        <v>429</v>
      </c>
      <c r="G81" s="4" t="s">
        <v>430</v>
      </c>
      <c r="H81" s="4" t="s">
        <v>431</v>
      </c>
      <c r="I81" s="4" t="s">
        <v>432</v>
      </c>
      <c r="J81" s="4" t="s">
        <v>433</v>
      </c>
    </row>
    <row r="82" spans="1:10" x14ac:dyDescent="0.3">
      <c r="B82" s="4" t="s">
        <v>29</v>
      </c>
      <c r="C82" s="4" t="s">
        <v>434</v>
      </c>
      <c r="D82" s="4" t="s">
        <v>435</v>
      </c>
      <c r="E82" s="4" t="s">
        <v>436</v>
      </c>
      <c r="F82" s="4" t="s">
        <v>437</v>
      </c>
      <c r="G82" s="4" t="s">
        <v>438</v>
      </c>
      <c r="H82" s="4" t="s">
        <v>439</v>
      </c>
      <c r="I82" s="4" t="s">
        <v>440</v>
      </c>
      <c r="J82" s="4" t="s">
        <v>441</v>
      </c>
    </row>
    <row r="83" spans="1:10" x14ac:dyDescent="0.3">
      <c r="B83" s="4" t="s">
        <v>38</v>
      </c>
      <c r="C83" s="4" t="s">
        <v>442</v>
      </c>
      <c r="D83" s="4" t="s">
        <v>443</v>
      </c>
      <c r="E83" s="4" t="s">
        <v>444</v>
      </c>
      <c r="F83" s="4" t="s">
        <v>445</v>
      </c>
      <c r="G83" s="4" t="s">
        <v>446</v>
      </c>
      <c r="H83" s="4" t="s">
        <v>447</v>
      </c>
      <c r="I83" s="4" t="s">
        <v>448</v>
      </c>
      <c r="J83" s="4" t="s">
        <v>449</v>
      </c>
    </row>
    <row r="84" spans="1:10" x14ac:dyDescent="0.3">
      <c r="B84" s="4" t="s">
        <v>47</v>
      </c>
      <c r="C84" s="4" t="s">
        <v>450</v>
      </c>
      <c r="D84" s="4" t="s">
        <v>451</v>
      </c>
      <c r="E84" s="4" t="s">
        <v>452</v>
      </c>
      <c r="F84" s="4" t="s">
        <v>453</v>
      </c>
      <c r="G84" s="4" t="s">
        <v>454</v>
      </c>
      <c r="H84" s="4" t="s">
        <v>455</v>
      </c>
      <c r="I84" s="4" t="s">
        <v>456</v>
      </c>
      <c r="J84" s="4" t="s">
        <v>457</v>
      </c>
    </row>
    <row r="85" spans="1:10" x14ac:dyDescent="0.3">
      <c r="B85" s="4" t="s">
        <v>56</v>
      </c>
      <c r="C85" s="4" t="s">
        <v>458</v>
      </c>
      <c r="D85" s="4" t="s">
        <v>459</v>
      </c>
      <c r="E85" s="4" t="s">
        <v>460</v>
      </c>
      <c r="F85" s="4" t="s">
        <v>461</v>
      </c>
      <c r="G85" s="4" t="s">
        <v>462</v>
      </c>
      <c r="H85" s="4" t="s">
        <v>463</v>
      </c>
      <c r="I85" s="4" t="s">
        <v>464</v>
      </c>
      <c r="J85" s="4" t="s">
        <v>465</v>
      </c>
    </row>
    <row r="89" spans="1:10" x14ac:dyDescent="0.3">
      <c r="A89" s="4" t="s">
        <v>1047</v>
      </c>
      <c r="C89" s="1" t="str">
        <f>A89&amp;"Spot"</f>
        <v>HKDSpot</v>
      </c>
      <c r="D89" s="1" t="str">
        <f>$A89&amp;"Fwd3m"</f>
        <v>HKDFwd3m</v>
      </c>
      <c r="E89" s="1" t="str">
        <f>$A89&amp;"Fwd6m"</f>
        <v>HKDFwd6m</v>
      </c>
      <c r="F89" s="1" t="str">
        <f>$A89&amp;"Fwd1y"</f>
        <v>HKDFwd1y</v>
      </c>
      <c r="G89" s="1" t="str">
        <f>$A89&amp;"Fwd2y"</f>
        <v>HKDFwd2y</v>
      </c>
      <c r="H89" s="1" t="str">
        <f>$A89&amp;"Fwd3y"</f>
        <v>HKDFwd3y</v>
      </c>
      <c r="I89" s="1" t="str">
        <f>$A89&amp;"Fwd4y"</f>
        <v>HKDFwd4y</v>
      </c>
      <c r="J89" s="1" t="str">
        <f>$A89&amp;"Fwd5y"</f>
        <v>HKDFwd5y</v>
      </c>
    </row>
    <row r="90" spans="1:10" x14ac:dyDescent="0.3">
      <c r="B90" s="4" t="s">
        <v>2</v>
      </c>
      <c r="C90" s="4" t="s">
        <v>469</v>
      </c>
      <c r="D90" s="4" t="s">
        <v>477</v>
      </c>
      <c r="E90" s="4" t="s">
        <v>485</v>
      </c>
      <c r="F90" s="4" t="s">
        <v>493</v>
      </c>
      <c r="G90" s="4" t="s">
        <v>501</v>
      </c>
      <c r="H90" s="4" t="s">
        <v>509</v>
      </c>
      <c r="I90" s="4" t="s">
        <v>517</v>
      </c>
      <c r="J90" s="4" t="s">
        <v>525</v>
      </c>
    </row>
    <row r="91" spans="1:10" x14ac:dyDescent="0.3">
      <c r="B91" s="4" t="s">
        <v>73</v>
      </c>
      <c r="C91" s="4" t="s">
        <v>470</v>
      </c>
      <c r="D91" s="4" t="s">
        <v>478</v>
      </c>
      <c r="E91" s="4" t="s">
        <v>486</v>
      </c>
      <c r="F91" s="4" t="s">
        <v>494</v>
      </c>
      <c r="G91" s="4" t="s">
        <v>502</v>
      </c>
      <c r="H91" s="4" t="s">
        <v>510</v>
      </c>
      <c r="I91" s="4" t="s">
        <v>518</v>
      </c>
      <c r="J91" s="4" t="s">
        <v>526</v>
      </c>
    </row>
    <row r="92" spans="1:10" x14ac:dyDescent="0.3">
      <c r="B92" s="4" t="s">
        <v>11</v>
      </c>
      <c r="C92" s="4" t="s">
        <v>471</v>
      </c>
      <c r="D92" s="4" t="s">
        <v>479</v>
      </c>
      <c r="E92" s="4" t="s">
        <v>487</v>
      </c>
      <c r="F92" s="4" t="s">
        <v>495</v>
      </c>
      <c r="G92" s="4" t="s">
        <v>503</v>
      </c>
      <c r="H92" s="4" t="s">
        <v>511</v>
      </c>
      <c r="I92" s="4" t="s">
        <v>519</v>
      </c>
      <c r="J92" s="4" t="s">
        <v>527</v>
      </c>
    </row>
    <row r="93" spans="1:10" x14ac:dyDescent="0.3">
      <c r="B93" s="4" t="s">
        <v>20</v>
      </c>
      <c r="C93" s="4" t="s">
        <v>472</v>
      </c>
      <c r="D93" s="4" t="s">
        <v>480</v>
      </c>
      <c r="E93" s="4" t="s">
        <v>488</v>
      </c>
      <c r="F93" s="4" t="s">
        <v>496</v>
      </c>
      <c r="G93" s="4" t="s">
        <v>504</v>
      </c>
      <c r="H93" s="4" t="s">
        <v>512</v>
      </c>
      <c r="I93" s="4" t="s">
        <v>520</v>
      </c>
      <c r="J93" s="4" t="s">
        <v>528</v>
      </c>
    </row>
    <row r="94" spans="1:10" x14ac:dyDescent="0.3">
      <c r="B94" s="4" t="s">
        <v>29</v>
      </c>
      <c r="C94" s="4" t="s">
        <v>473</v>
      </c>
      <c r="D94" s="4" t="s">
        <v>481</v>
      </c>
      <c r="E94" s="4" t="s">
        <v>489</v>
      </c>
      <c r="F94" s="4" t="s">
        <v>497</v>
      </c>
      <c r="G94" s="4" t="s">
        <v>505</v>
      </c>
      <c r="H94" s="4" t="s">
        <v>513</v>
      </c>
      <c r="I94" s="4" t="s">
        <v>521</v>
      </c>
      <c r="J94" s="4" t="s">
        <v>529</v>
      </c>
    </row>
    <row r="95" spans="1:10" x14ac:dyDescent="0.3">
      <c r="B95" s="4" t="s">
        <v>38</v>
      </c>
      <c r="C95" s="4" t="s">
        <v>474</v>
      </c>
      <c r="D95" s="4" t="s">
        <v>482</v>
      </c>
      <c r="E95" s="4" t="s">
        <v>490</v>
      </c>
      <c r="F95" s="4" t="s">
        <v>498</v>
      </c>
      <c r="G95" s="4" t="s">
        <v>506</v>
      </c>
      <c r="H95" s="4" t="s">
        <v>514</v>
      </c>
      <c r="I95" s="4" t="s">
        <v>522</v>
      </c>
      <c r="J95" s="4" t="s">
        <v>530</v>
      </c>
    </row>
    <row r="96" spans="1:10" x14ac:dyDescent="0.3">
      <c r="B96" s="4" t="s">
        <v>47</v>
      </c>
      <c r="C96" s="4" t="s">
        <v>475</v>
      </c>
      <c r="D96" s="4" t="s">
        <v>483</v>
      </c>
      <c r="E96" s="4" t="s">
        <v>491</v>
      </c>
      <c r="F96" s="4" t="s">
        <v>499</v>
      </c>
      <c r="G96" s="4" t="s">
        <v>507</v>
      </c>
      <c r="H96" s="4" t="s">
        <v>515</v>
      </c>
      <c r="I96" s="4" t="s">
        <v>523</v>
      </c>
      <c r="J96" s="4" t="s">
        <v>531</v>
      </c>
    </row>
    <row r="97" spans="1:10" x14ac:dyDescent="0.3">
      <c r="B97" s="4" t="s">
        <v>56</v>
      </c>
      <c r="C97" s="4" t="s">
        <v>476</v>
      </c>
      <c r="D97" s="4" t="s">
        <v>484</v>
      </c>
      <c r="E97" s="4" t="s">
        <v>492</v>
      </c>
      <c r="F97" s="4" t="s">
        <v>500</v>
      </c>
      <c r="G97" s="4" t="s">
        <v>508</v>
      </c>
      <c r="H97" s="4" t="s">
        <v>516</v>
      </c>
      <c r="I97" s="4" t="s">
        <v>524</v>
      </c>
      <c r="J97" s="4" t="s">
        <v>532</v>
      </c>
    </row>
    <row r="101" spans="1:10" x14ac:dyDescent="0.3">
      <c r="A101" s="4" t="s">
        <v>1048</v>
      </c>
      <c r="C101" s="1" t="str">
        <f>A101&amp;"Spot"</f>
        <v>NZDSpot</v>
      </c>
      <c r="D101" s="1" t="str">
        <f>$A101&amp;"Fwd3m"</f>
        <v>NZDFwd3m</v>
      </c>
      <c r="E101" s="1" t="str">
        <f>$A101&amp;"Fwd6m"</f>
        <v>NZDFwd6m</v>
      </c>
      <c r="F101" s="1" t="str">
        <f>$A101&amp;"Fwd1y"</f>
        <v>NZDFwd1y</v>
      </c>
      <c r="G101" s="1" t="str">
        <f>$A101&amp;"Fwd2y"</f>
        <v>NZDFwd2y</v>
      </c>
      <c r="H101" s="1" t="str">
        <f>$A101&amp;"Fwd3y"</f>
        <v>NZDFwd3y</v>
      </c>
      <c r="I101" s="1" t="str">
        <f>$A101&amp;"Fwd4y"</f>
        <v>NZDFwd4y</v>
      </c>
      <c r="J101" s="1" t="str">
        <f>$A101&amp;"Fwd5y"</f>
        <v>NZDFwd5y</v>
      </c>
    </row>
    <row r="102" spans="1:10" x14ac:dyDescent="0.3">
      <c r="B102" s="4" t="s">
        <v>73</v>
      </c>
      <c r="C102" s="4" t="s">
        <v>533</v>
      </c>
      <c r="D102" s="4" t="s">
        <v>540</v>
      </c>
      <c r="E102" s="4" t="s">
        <v>547</v>
      </c>
      <c r="F102" s="4" t="s">
        <v>554</v>
      </c>
      <c r="G102" s="4" t="s">
        <v>561</v>
      </c>
      <c r="H102" s="4" t="s">
        <v>568</v>
      </c>
      <c r="I102" s="4" t="s">
        <v>575</v>
      </c>
      <c r="J102" s="4" t="s">
        <v>582</v>
      </c>
    </row>
    <row r="103" spans="1:10" x14ac:dyDescent="0.3">
      <c r="B103" s="4" t="s">
        <v>11</v>
      </c>
      <c r="C103" s="4" t="s">
        <v>534</v>
      </c>
      <c r="D103" s="4" t="s">
        <v>541</v>
      </c>
      <c r="E103" s="4" t="s">
        <v>548</v>
      </c>
      <c r="F103" s="4" t="s">
        <v>555</v>
      </c>
      <c r="G103" s="4" t="s">
        <v>562</v>
      </c>
      <c r="H103" s="4" t="s">
        <v>569</v>
      </c>
      <c r="I103" s="4" t="s">
        <v>576</v>
      </c>
      <c r="J103" s="4" t="s">
        <v>583</v>
      </c>
    </row>
    <row r="104" spans="1:10" x14ac:dyDescent="0.3">
      <c r="B104" s="4" t="s">
        <v>20</v>
      </c>
      <c r="C104" s="4" t="s">
        <v>535</v>
      </c>
      <c r="D104" s="4" t="s">
        <v>542</v>
      </c>
      <c r="E104" s="4" t="s">
        <v>549</v>
      </c>
      <c r="F104" s="4" t="s">
        <v>556</v>
      </c>
      <c r="G104" s="4" t="s">
        <v>563</v>
      </c>
      <c r="H104" s="4" t="s">
        <v>570</v>
      </c>
      <c r="I104" s="4" t="s">
        <v>577</v>
      </c>
      <c r="J104" s="4" t="s">
        <v>584</v>
      </c>
    </row>
    <row r="105" spans="1:10" x14ac:dyDescent="0.3">
      <c r="B105" s="4" t="s">
        <v>29</v>
      </c>
      <c r="C105" s="4" t="s">
        <v>536</v>
      </c>
      <c r="D105" s="4" t="s">
        <v>543</v>
      </c>
      <c r="E105" s="4" t="s">
        <v>550</v>
      </c>
      <c r="F105" s="4" t="s">
        <v>557</v>
      </c>
      <c r="G105" s="4" t="s">
        <v>564</v>
      </c>
      <c r="H105" s="4" t="s">
        <v>571</v>
      </c>
      <c r="I105" s="4" t="s">
        <v>578</v>
      </c>
      <c r="J105" s="4" t="s">
        <v>585</v>
      </c>
    </row>
    <row r="106" spans="1:10" x14ac:dyDescent="0.3">
      <c r="B106" s="4" t="s">
        <v>38</v>
      </c>
      <c r="C106" s="4" t="s">
        <v>537</v>
      </c>
      <c r="D106" s="4" t="s">
        <v>544</v>
      </c>
      <c r="E106" s="4" t="s">
        <v>551</v>
      </c>
      <c r="F106" s="4" t="s">
        <v>558</v>
      </c>
      <c r="G106" s="4" t="s">
        <v>565</v>
      </c>
      <c r="H106" s="4" t="s">
        <v>572</v>
      </c>
      <c r="I106" s="4" t="s">
        <v>579</v>
      </c>
      <c r="J106" s="4" t="s">
        <v>586</v>
      </c>
    </row>
    <row r="107" spans="1:10" x14ac:dyDescent="0.3">
      <c r="B107" s="4" t="s">
        <v>47</v>
      </c>
      <c r="C107" s="4" t="s">
        <v>538</v>
      </c>
      <c r="D107" s="4" t="s">
        <v>545</v>
      </c>
      <c r="E107" s="4" t="s">
        <v>552</v>
      </c>
      <c r="F107" s="4" t="s">
        <v>559</v>
      </c>
      <c r="G107" s="4" t="s">
        <v>566</v>
      </c>
      <c r="H107" s="4" t="s">
        <v>573</v>
      </c>
      <c r="I107" s="4" t="s">
        <v>580</v>
      </c>
      <c r="J107" s="4" t="s">
        <v>587</v>
      </c>
    </row>
    <row r="108" spans="1:10" x14ac:dyDescent="0.3">
      <c r="B108" s="4" t="s">
        <v>56</v>
      </c>
      <c r="C108" s="4" t="s">
        <v>539</v>
      </c>
      <c r="D108" s="4" t="s">
        <v>546</v>
      </c>
      <c r="E108" s="4" t="s">
        <v>553</v>
      </c>
      <c r="F108" s="4" t="s">
        <v>560</v>
      </c>
      <c r="G108" s="4" t="s">
        <v>567</v>
      </c>
      <c r="H108" s="4" t="s">
        <v>574</v>
      </c>
      <c r="I108" s="4" t="s">
        <v>581</v>
      </c>
      <c r="J108" s="4" t="s">
        <v>588</v>
      </c>
    </row>
    <row r="112" spans="1:10" x14ac:dyDescent="0.3">
      <c r="A112" s="4" t="s">
        <v>595</v>
      </c>
      <c r="C112" s="1" t="str">
        <f>A112&amp;"Spot"</f>
        <v>THBSpot</v>
      </c>
      <c r="D112" s="1" t="str">
        <f>$A112&amp;"Fwd3m"</f>
        <v>THBFwd3m</v>
      </c>
      <c r="E112" s="1" t="str">
        <f>$A112&amp;"Fwd6m"</f>
        <v>THBFwd6m</v>
      </c>
      <c r="F112" s="1" t="str">
        <f>$A112&amp;"Fwd1y"</f>
        <v>THBFwd1y</v>
      </c>
      <c r="G112" s="1" t="str">
        <f>$A112&amp;"Fwd2y"</f>
        <v>THBFwd2y</v>
      </c>
      <c r="H112" s="1" t="str">
        <f>$A112&amp;"Fwd3y"</f>
        <v>THBFwd3y</v>
      </c>
      <c r="I112" s="1" t="str">
        <f>$A112&amp;"Fwd4y"</f>
        <v>THBFwd4y</v>
      </c>
      <c r="J112" s="1" t="str">
        <f>$A112&amp;"Fwd5y"</f>
        <v>THBFwd5y</v>
      </c>
    </row>
    <row r="113" spans="1:10" x14ac:dyDescent="0.3">
      <c r="B113" s="4" t="s">
        <v>2</v>
      </c>
      <c r="C113" s="4" t="s">
        <v>1038</v>
      </c>
      <c r="D113" s="1" t="s">
        <v>596</v>
      </c>
      <c r="E113" s="1" t="s">
        <v>604</v>
      </c>
      <c r="F113" s="1" t="s">
        <v>612</v>
      </c>
      <c r="G113" s="1" t="s">
        <v>620</v>
      </c>
      <c r="H113" s="1" t="s">
        <v>628</v>
      </c>
      <c r="I113" s="1" t="s">
        <v>636</v>
      </c>
      <c r="J113" s="1" t="s">
        <v>644</v>
      </c>
    </row>
    <row r="114" spans="1:10" x14ac:dyDescent="0.3">
      <c r="B114" s="4" t="s">
        <v>73</v>
      </c>
      <c r="C114" s="4" t="s">
        <v>1039</v>
      </c>
      <c r="D114" s="1" t="s">
        <v>597</v>
      </c>
      <c r="E114" s="1" t="s">
        <v>605</v>
      </c>
      <c r="F114" s="1" t="s">
        <v>613</v>
      </c>
      <c r="G114" s="1" t="s">
        <v>621</v>
      </c>
      <c r="H114" s="1" t="s">
        <v>629</v>
      </c>
      <c r="I114" s="1" t="s">
        <v>637</v>
      </c>
      <c r="J114" s="1" t="s">
        <v>645</v>
      </c>
    </row>
    <row r="115" spans="1:10" x14ac:dyDescent="0.3">
      <c r="B115" s="4" t="s">
        <v>11</v>
      </c>
      <c r="C115" s="4" t="s">
        <v>589</v>
      </c>
      <c r="D115" s="4" t="s">
        <v>598</v>
      </c>
      <c r="E115" s="4" t="s">
        <v>606</v>
      </c>
      <c r="F115" s="4" t="s">
        <v>614</v>
      </c>
      <c r="G115" s="4" t="s">
        <v>622</v>
      </c>
      <c r="H115" s="4" t="s">
        <v>630</v>
      </c>
      <c r="I115" s="4" t="s">
        <v>638</v>
      </c>
      <c r="J115" s="4" t="s">
        <v>646</v>
      </c>
    </row>
    <row r="116" spans="1:10" x14ac:dyDescent="0.3">
      <c r="B116" s="4" t="s">
        <v>20</v>
      </c>
      <c r="C116" s="4" t="s">
        <v>590</v>
      </c>
      <c r="D116" s="4" t="s">
        <v>599</v>
      </c>
      <c r="E116" s="4" t="s">
        <v>607</v>
      </c>
      <c r="F116" s="4" t="s">
        <v>615</v>
      </c>
      <c r="G116" s="4" t="s">
        <v>623</v>
      </c>
      <c r="H116" s="4" t="s">
        <v>631</v>
      </c>
      <c r="I116" s="4" t="s">
        <v>639</v>
      </c>
      <c r="J116" s="4" t="s">
        <v>647</v>
      </c>
    </row>
    <row r="117" spans="1:10" x14ac:dyDescent="0.3">
      <c r="B117" s="4" t="s">
        <v>29</v>
      </c>
      <c r="C117" s="4" t="s">
        <v>591</v>
      </c>
      <c r="D117" s="4" t="s">
        <v>600</v>
      </c>
      <c r="E117" s="4" t="s">
        <v>608</v>
      </c>
      <c r="F117" s="4" t="s">
        <v>616</v>
      </c>
      <c r="G117" s="4" t="s">
        <v>624</v>
      </c>
      <c r="H117" s="4" t="s">
        <v>632</v>
      </c>
      <c r="I117" s="4" t="s">
        <v>640</v>
      </c>
      <c r="J117" s="4" t="s">
        <v>648</v>
      </c>
    </row>
    <row r="118" spans="1:10" x14ac:dyDescent="0.3">
      <c r="B118" s="4" t="s">
        <v>38</v>
      </c>
      <c r="C118" s="4" t="s">
        <v>592</v>
      </c>
      <c r="D118" s="4" t="s">
        <v>601</v>
      </c>
      <c r="E118" s="4" t="s">
        <v>609</v>
      </c>
      <c r="F118" s="4" t="s">
        <v>617</v>
      </c>
      <c r="G118" s="4" t="s">
        <v>625</v>
      </c>
      <c r="H118" s="4" t="s">
        <v>633</v>
      </c>
      <c r="I118" s="4" t="s">
        <v>641</v>
      </c>
      <c r="J118" s="4" t="s">
        <v>649</v>
      </c>
    </row>
    <row r="119" spans="1:10" x14ac:dyDescent="0.3">
      <c r="B119" s="4" t="s">
        <v>47</v>
      </c>
      <c r="C119" s="4" t="s">
        <v>593</v>
      </c>
      <c r="D119" s="4" t="s">
        <v>602</v>
      </c>
      <c r="E119" s="4" t="s">
        <v>610</v>
      </c>
      <c r="F119" s="4" t="s">
        <v>618</v>
      </c>
      <c r="G119" s="4" t="s">
        <v>626</v>
      </c>
      <c r="H119" s="4" t="s">
        <v>634</v>
      </c>
      <c r="I119" s="4" t="s">
        <v>642</v>
      </c>
      <c r="J119" s="4" t="s">
        <v>650</v>
      </c>
    </row>
    <row r="120" spans="1:10" x14ac:dyDescent="0.3">
      <c r="B120" s="4" t="s">
        <v>56</v>
      </c>
      <c r="C120" s="4" t="s">
        <v>594</v>
      </c>
      <c r="D120" s="4" t="s">
        <v>603</v>
      </c>
      <c r="E120" s="4" t="s">
        <v>611</v>
      </c>
      <c r="F120" s="4" t="s">
        <v>619</v>
      </c>
      <c r="G120" s="4" t="s">
        <v>627</v>
      </c>
      <c r="H120" s="4" t="s">
        <v>635</v>
      </c>
      <c r="I120" s="4" t="s">
        <v>643</v>
      </c>
      <c r="J120" s="4" t="s">
        <v>651</v>
      </c>
    </row>
    <row r="122" spans="1:10" x14ac:dyDescent="0.3">
      <c r="D122" s="9"/>
    </row>
    <row r="124" spans="1:10" x14ac:dyDescent="0.3">
      <c r="A124" s="4" t="s">
        <v>1049</v>
      </c>
      <c r="C124" s="1" t="str">
        <f>A124&amp;"Spot"</f>
        <v>EURSpot</v>
      </c>
      <c r="D124" s="1" t="str">
        <f>$A124&amp;"Fwd3m"</f>
        <v>EURFwd3m</v>
      </c>
      <c r="E124" s="1" t="str">
        <f>$A124&amp;"Fwd6m"</f>
        <v>EURFwd6m</v>
      </c>
      <c r="F124" s="1" t="str">
        <f>$A124&amp;"Fwd1y"</f>
        <v>EURFwd1y</v>
      </c>
      <c r="G124" s="1" t="str">
        <f>$A124&amp;"Fwd2y"</f>
        <v>EURFwd2y</v>
      </c>
      <c r="H124" s="1" t="str">
        <f>$A124&amp;"Fwd3y"</f>
        <v>EURFwd3y</v>
      </c>
      <c r="I124" s="1" t="str">
        <f>$A124&amp;"Fwd4y"</f>
        <v>EURFwd4y</v>
      </c>
      <c r="J124" s="1" t="str">
        <f>$A124&amp;"Fwd5y"</f>
        <v>EURFwd5y</v>
      </c>
    </row>
    <row r="125" spans="1:10" x14ac:dyDescent="0.3">
      <c r="B125" s="4" t="s">
        <v>2</v>
      </c>
      <c r="C125" s="4" t="s">
        <v>652</v>
      </c>
      <c r="D125" s="4" t="s">
        <v>660</v>
      </c>
      <c r="E125" s="4" t="s">
        <v>668</v>
      </c>
      <c r="F125" s="4" t="s">
        <v>676</v>
      </c>
      <c r="G125" s="4" t="s">
        <v>684</v>
      </c>
      <c r="H125" s="4" t="s">
        <v>692</v>
      </c>
      <c r="I125" s="4" t="s">
        <v>700</v>
      </c>
      <c r="J125" s="4" t="s">
        <v>708</v>
      </c>
    </row>
    <row r="126" spans="1:10" x14ac:dyDescent="0.3">
      <c r="B126" s="4" t="s">
        <v>73</v>
      </c>
      <c r="C126" s="4" t="s">
        <v>653</v>
      </c>
      <c r="D126" s="4" t="s">
        <v>661</v>
      </c>
      <c r="E126" s="4" t="s">
        <v>669</v>
      </c>
      <c r="F126" s="4" t="s">
        <v>677</v>
      </c>
      <c r="G126" s="4" t="s">
        <v>685</v>
      </c>
      <c r="H126" s="4" t="s">
        <v>693</v>
      </c>
      <c r="I126" s="4" t="s">
        <v>701</v>
      </c>
      <c r="J126" s="4" t="s">
        <v>709</v>
      </c>
    </row>
    <row r="127" spans="1:10" x14ac:dyDescent="0.3">
      <c r="B127" s="4" t="s">
        <v>11</v>
      </c>
      <c r="C127" s="4" t="s">
        <v>654</v>
      </c>
      <c r="D127" s="4" t="s">
        <v>662</v>
      </c>
      <c r="E127" s="4" t="s">
        <v>670</v>
      </c>
      <c r="F127" s="4" t="s">
        <v>678</v>
      </c>
      <c r="G127" s="4" t="s">
        <v>686</v>
      </c>
      <c r="H127" s="4" t="s">
        <v>694</v>
      </c>
      <c r="I127" s="4" t="s">
        <v>702</v>
      </c>
      <c r="J127" s="4" t="s">
        <v>710</v>
      </c>
    </row>
    <row r="128" spans="1:10" x14ac:dyDescent="0.3">
      <c r="B128" s="4" t="s">
        <v>20</v>
      </c>
      <c r="C128" s="4" t="s">
        <v>655</v>
      </c>
      <c r="D128" s="4" t="s">
        <v>663</v>
      </c>
      <c r="E128" s="4" t="s">
        <v>671</v>
      </c>
      <c r="F128" s="4" t="s">
        <v>679</v>
      </c>
      <c r="G128" s="4" t="s">
        <v>687</v>
      </c>
      <c r="H128" s="4" t="s">
        <v>695</v>
      </c>
      <c r="I128" s="4" t="s">
        <v>703</v>
      </c>
      <c r="J128" s="4" t="s">
        <v>711</v>
      </c>
    </row>
    <row r="129" spans="1:10" x14ac:dyDescent="0.3">
      <c r="B129" s="4" t="s">
        <v>29</v>
      </c>
      <c r="C129" s="4" t="s">
        <v>656</v>
      </c>
      <c r="D129" s="4" t="s">
        <v>664</v>
      </c>
      <c r="E129" s="4" t="s">
        <v>672</v>
      </c>
      <c r="F129" s="4" t="s">
        <v>680</v>
      </c>
      <c r="G129" s="4" t="s">
        <v>688</v>
      </c>
      <c r="H129" s="4" t="s">
        <v>696</v>
      </c>
      <c r="I129" s="4" t="s">
        <v>704</v>
      </c>
      <c r="J129" s="4" t="s">
        <v>712</v>
      </c>
    </row>
    <row r="130" spans="1:10" x14ac:dyDescent="0.3">
      <c r="B130" s="4" t="s">
        <v>38</v>
      </c>
      <c r="C130" s="4" t="s">
        <v>657</v>
      </c>
      <c r="D130" s="4" t="s">
        <v>665</v>
      </c>
      <c r="E130" s="4" t="s">
        <v>673</v>
      </c>
      <c r="F130" s="4" t="s">
        <v>681</v>
      </c>
      <c r="G130" s="4" t="s">
        <v>689</v>
      </c>
      <c r="H130" s="4" t="s">
        <v>697</v>
      </c>
      <c r="I130" s="4" t="s">
        <v>705</v>
      </c>
      <c r="J130" s="4" t="s">
        <v>713</v>
      </c>
    </row>
    <row r="131" spans="1:10" x14ac:dyDescent="0.3">
      <c r="B131" s="4" t="s">
        <v>47</v>
      </c>
      <c r="C131" s="4" t="s">
        <v>658</v>
      </c>
      <c r="D131" s="4" t="s">
        <v>666</v>
      </c>
      <c r="E131" s="4" t="s">
        <v>674</v>
      </c>
      <c r="F131" s="4" t="s">
        <v>682</v>
      </c>
      <c r="G131" s="4" t="s">
        <v>690</v>
      </c>
      <c r="H131" s="4" t="s">
        <v>698</v>
      </c>
      <c r="I131" s="4" t="s">
        <v>706</v>
      </c>
      <c r="J131" s="4" t="s">
        <v>714</v>
      </c>
    </row>
    <row r="132" spans="1:10" x14ac:dyDescent="0.3">
      <c r="B132" s="4" t="s">
        <v>56</v>
      </c>
      <c r="C132" s="4" t="s">
        <v>659</v>
      </c>
      <c r="D132" s="4" t="s">
        <v>667</v>
      </c>
      <c r="E132" s="4" t="s">
        <v>675</v>
      </c>
      <c r="F132" s="4" t="s">
        <v>683</v>
      </c>
      <c r="G132" s="4" t="s">
        <v>691</v>
      </c>
      <c r="H132" s="4" t="s">
        <v>699</v>
      </c>
      <c r="I132" s="4" t="s">
        <v>707</v>
      </c>
      <c r="J132" s="4" t="s">
        <v>715</v>
      </c>
    </row>
    <row r="136" spans="1:10" x14ac:dyDescent="0.3">
      <c r="A136" s="4" t="s">
        <v>716</v>
      </c>
      <c r="C136" s="1" t="str">
        <f>A136&amp;"Spot"</f>
        <v>EONIASpot</v>
      </c>
      <c r="D136" s="1" t="str">
        <f>$A136&amp;"Fwd3m"</f>
        <v>EONIAFwd3m</v>
      </c>
      <c r="E136" s="1" t="str">
        <f>$A136&amp;"Fwd6m"</f>
        <v>EONIAFwd6m</v>
      </c>
      <c r="F136" s="1" t="str">
        <f>$A136&amp;"Fwd1y"</f>
        <v>EONIAFwd1y</v>
      </c>
      <c r="G136" s="1" t="str">
        <f>$A136&amp;"Fwd2y"</f>
        <v>EONIAFwd2y</v>
      </c>
      <c r="H136" s="1" t="str">
        <f>$A136&amp;"Fwd3y"</f>
        <v>EONIAFwd3y</v>
      </c>
      <c r="I136" s="1" t="str">
        <f>$A136&amp;"Fwd4y"</f>
        <v>EONIAFwd4y</v>
      </c>
      <c r="J136" s="1" t="str">
        <f>$A136&amp;"Fwd5y"</f>
        <v>EONIAFwd5y</v>
      </c>
    </row>
    <row r="137" spans="1:10" x14ac:dyDescent="0.3">
      <c r="B137" s="4" t="s">
        <v>2</v>
      </c>
      <c r="C137" s="4" t="s">
        <v>717</v>
      </c>
      <c r="D137" s="4" t="s">
        <v>725</v>
      </c>
      <c r="E137" s="4" t="s">
        <v>733</v>
      </c>
      <c r="F137" s="4" t="s">
        <v>741</v>
      </c>
      <c r="G137" s="4" t="s">
        <v>749</v>
      </c>
      <c r="H137" s="4" t="s">
        <v>757</v>
      </c>
      <c r="I137" s="4" t="s">
        <v>765</v>
      </c>
      <c r="J137" s="4" t="s">
        <v>773</v>
      </c>
    </row>
    <row r="138" spans="1:10" x14ac:dyDescent="0.3">
      <c r="B138" s="4" t="s">
        <v>73</v>
      </c>
      <c r="C138" s="4" t="s">
        <v>718</v>
      </c>
      <c r="D138" s="4" t="s">
        <v>726</v>
      </c>
      <c r="E138" s="4" t="s">
        <v>734</v>
      </c>
      <c r="F138" s="4" t="s">
        <v>742</v>
      </c>
      <c r="G138" s="4" t="s">
        <v>750</v>
      </c>
      <c r="H138" s="4" t="s">
        <v>758</v>
      </c>
      <c r="I138" s="4" t="s">
        <v>766</v>
      </c>
      <c r="J138" s="4" t="s">
        <v>774</v>
      </c>
    </row>
    <row r="139" spans="1:10" x14ac:dyDescent="0.3">
      <c r="B139" s="4" t="s">
        <v>11</v>
      </c>
      <c r="C139" s="4" t="s">
        <v>719</v>
      </c>
      <c r="D139" s="4" t="s">
        <v>727</v>
      </c>
      <c r="E139" s="4" t="s">
        <v>735</v>
      </c>
      <c r="F139" s="4" t="s">
        <v>743</v>
      </c>
      <c r="G139" s="4" t="s">
        <v>751</v>
      </c>
      <c r="H139" s="4" t="s">
        <v>759</v>
      </c>
      <c r="I139" s="4" t="s">
        <v>767</v>
      </c>
      <c r="J139" s="4" t="s">
        <v>775</v>
      </c>
    </row>
    <row r="140" spans="1:10" x14ac:dyDescent="0.3">
      <c r="B140" s="4" t="s">
        <v>20</v>
      </c>
      <c r="C140" s="4" t="s">
        <v>720</v>
      </c>
      <c r="D140" s="4" t="s">
        <v>728</v>
      </c>
      <c r="E140" s="4" t="s">
        <v>736</v>
      </c>
      <c r="F140" s="4" t="s">
        <v>744</v>
      </c>
      <c r="G140" s="4" t="s">
        <v>752</v>
      </c>
      <c r="H140" s="4" t="s">
        <v>760</v>
      </c>
      <c r="I140" s="4" t="s">
        <v>768</v>
      </c>
      <c r="J140" s="4" t="s">
        <v>776</v>
      </c>
    </row>
    <row r="141" spans="1:10" x14ac:dyDescent="0.3">
      <c r="B141" s="4" t="s">
        <v>29</v>
      </c>
      <c r="C141" s="4" t="s">
        <v>721</v>
      </c>
      <c r="D141" s="4" t="s">
        <v>729</v>
      </c>
      <c r="E141" s="4" t="s">
        <v>737</v>
      </c>
      <c r="F141" s="4" t="s">
        <v>745</v>
      </c>
      <c r="G141" s="4" t="s">
        <v>753</v>
      </c>
      <c r="H141" s="4" t="s">
        <v>761</v>
      </c>
      <c r="I141" s="4" t="s">
        <v>769</v>
      </c>
      <c r="J141" s="4" t="s">
        <v>777</v>
      </c>
    </row>
    <row r="142" spans="1:10" x14ac:dyDescent="0.3">
      <c r="B142" s="4" t="s">
        <v>38</v>
      </c>
      <c r="C142" s="4" t="s">
        <v>722</v>
      </c>
      <c r="D142" s="4" t="s">
        <v>730</v>
      </c>
      <c r="E142" s="4" t="s">
        <v>738</v>
      </c>
      <c r="F142" s="4" t="s">
        <v>746</v>
      </c>
      <c r="G142" s="4" t="s">
        <v>754</v>
      </c>
      <c r="H142" s="4" t="s">
        <v>762</v>
      </c>
      <c r="I142" s="4" t="s">
        <v>770</v>
      </c>
      <c r="J142" s="4" t="s">
        <v>778</v>
      </c>
    </row>
    <row r="143" spans="1:10" x14ac:dyDescent="0.3">
      <c r="B143" s="4" t="s">
        <v>47</v>
      </c>
      <c r="C143" s="4" t="s">
        <v>723</v>
      </c>
      <c r="D143" s="4" t="s">
        <v>731</v>
      </c>
      <c r="E143" s="4" t="s">
        <v>739</v>
      </c>
      <c r="F143" s="4" t="s">
        <v>747</v>
      </c>
      <c r="G143" s="4" t="s">
        <v>755</v>
      </c>
      <c r="H143" s="4" t="s">
        <v>763</v>
      </c>
      <c r="I143" s="4" t="s">
        <v>771</v>
      </c>
      <c r="J143" s="4" t="s">
        <v>779</v>
      </c>
    </row>
    <row r="144" spans="1:10" x14ac:dyDescent="0.3">
      <c r="B144" s="4" t="s">
        <v>56</v>
      </c>
      <c r="C144" s="4" t="s">
        <v>724</v>
      </c>
      <c r="D144" s="4" t="s">
        <v>732</v>
      </c>
      <c r="E144" s="4" t="s">
        <v>740</v>
      </c>
      <c r="F144" s="4" t="s">
        <v>748</v>
      </c>
      <c r="G144" s="4" t="s">
        <v>756</v>
      </c>
      <c r="H144" s="4" t="s">
        <v>764</v>
      </c>
      <c r="I144" s="4" t="s">
        <v>772</v>
      </c>
      <c r="J144" s="4" t="s">
        <v>780</v>
      </c>
    </row>
    <row r="148" spans="1:10" x14ac:dyDescent="0.3">
      <c r="A148" s="4" t="s">
        <v>1050</v>
      </c>
      <c r="C148" s="1" t="str">
        <f>A148&amp;"Spot"</f>
        <v>DEMSpot</v>
      </c>
      <c r="D148" s="1" t="str">
        <f>$A148&amp;"Fwd3m"</f>
        <v>DEMFwd3m</v>
      </c>
      <c r="E148" s="1" t="str">
        <f>$A148&amp;"Fwd6m"</f>
        <v>DEMFwd6m</v>
      </c>
      <c r="F148" s="1" t="str">
        <f>$A148&amp;"Fwd1y"</f>
        <v>DEMFwd1y</v>
      </c>
      <c r="G148" s="1" t="str">
        <f>$A148&amp;"Fwd2y"</f>
        <v>DEMFwd2y</v>
      </c>
      <c r="H148" s="1" t="str">
        <f>$A148&amp;"Fwd3y"</f>
        <v>DEMFwd3y</v>
      </c>
      <c r="I148" s="1" t="str">
        <f>$A148&amp;"Fwd4y"</f>
        <v>DEMFwd4y</v>
      </c>
      <c r="J148" s="1" t="str">
        <f>$A148&amp;"Fwd5y"</f>
        <v>DEMFwd5y</v>
      </c>
    </row>
    <row r="149" spans="1:10" x14ac:dyDescent="0.3">
      <c r="B149" s="4" t="s">
        <v>2</v>
      </c>
      <c r="C149" s="4" t="s">
        <v>1014</v>
      </c>
      <c r="D149" s="4" t="s">
        <v>781</v>
      </c>
      <c r="E149" s="4" t="s">
        <v>789</v>
      </c>
      <c r="F149" s="4" t="s">
        <v>797</v>
      </c>
      <c r="G149" s="4" t="s">
        <v>805</v>
      </c>
      <c r="H149" s="4" t="s">
        <v>813</v>
      </c>
      <c r="I149" s="4" t="s">
        <v>821</v>
      </c>
      <c r="J149" s="4" t="s">
        <v>822</v>
      </c>
    </row>
    <row r="150" spans="1:10" x14ac:dyDescent="0.3">
      <c r="B150" s="4" t="s">
        <v>73</v>
      </c>
      <c r="C150" s="4" t="s">
        <v>1015</v>
      </c>
      <c r="D150" s="4" t="s">
        <v>782</v>
      </c>
      <c r="E150" s="4" t="s">
        <v>790</v>
      </c>
      <c r="F150" s="4" t="s">
        <v>798</v>
      </c>
      <c r="G150" s="4" t="s">
        <v>806</v>
      </c>
      <c r="H150" s="4" t="s">
        <v>814</v>
      </c>
      <c r="I150" s="4" t="s">
        <v>823</v>
      </c>
      <c r="J150" s="4" t="s">
        <v>824</v>
      </c>
    </row>
    <row r="151" spans="1:10" x14ac:dyDescent="0.3">
      <c r="B151" s="4" t="s">
        <v>11</v>
      </c>
      <c r="C151" s="4" t="s">
        <v>1016</v>
      </c>
      <c r="D151" s="4" t="s">
        <v>783</v>
      </c>
      <c r="E151" s="4" t="s">
        <v>791</v>
      </c>
      <c r="F151" s="4" t="s">
        <v>799</v>
      </c>
      <c r="G151" s="4" t="s">
        <v>807</v>
      </c>
      <c r="H151" s="4" t="s">
        <v>815</v>
      </c>
      <c r="I151" s="4" t="s">
        <v>825</v>
      </c>
      <c r="J151" s="4" t="s">
        <v>826</v>
      </c>
    </row>
    <row r="152" spans="1:10" x14ac:dyDescent="0.3">
      <c r="B152" s="4" t="s">
        <v>20</v>
      </c>
      <c r="C152" s="4" t="s">
        <v>1017</v>
      </c>
      <c r="D152" s="4" t="s">
        <v>784</v>
      </c>
      <c r="E152" s="4" t="s">
        <v>792</v>
      </c>
      <c r="F152" s="4" t="s">
        <v>800</v>
      </c>
      <c r="G152" s="4" t="s">
        <v>808</v>
      </c>
      <c r="H152" s="4" t="s">
        <v>816</v>
      </c>
      <c r="I152" s="4" t="s">
        <v>827</v>
      </c>
      <c r="J152" s="4" t="s">
        <v>828</v>
      </c>
    </row>
    <row r="153" spans="1:10" x14ac:dyDescent="0.3">
      <c r="B153" s="4" t="s">
        <v>29</v>
      </c>
      <c r="C153" s="4" t="s">
        <v>1018</v>
      </c>
      <c r="D153" s="4" t="s">
        <v>785</v>
      </c>
      <c r="E153" s="4" t="s">
        <v>793</v>
      </c>
      <c r="F153" s="4" t="s">
        <v>801</v>
      </c>
      <c r="G153" s="4" t="s">
        <v>809</v>
      </c>
      <c r="H153" s="4" t="s">
        <v>817</v>
      </c>
      <c r="I153" s="4" t="s">
        <v>829</v>
      </c>
      <c r="J153" s="4" t="s">
        <v>830</v>
      </c>
    </row>
    <row r="154" spans="1:10" x14ac:dyDescent="0.3">
      <c r="B154" s="4" t="s">
        <v>38</v>
      </c>
      <c r="C154" s="4" t="s">
        <v>1019</v>
      </c>
      <c r="D154" s="4" t="s">
        <v>786</v>
      </c>
      <c r="E154" s="4" t="s">
        <v>794</v>
      </c>
      <c r="F154" s="4" t="s">
        <v>802</v>
      </c>
      <c r="G154" s="4" t="s">
        <v>810</v>
      </c>
      <c r="H154" s="4" t="s">
        <v>818</v>
      </c>
      <c r="I154" s="4" t="s">
        <v>831</v>
      </c>
      <c r="J154" s="4" t="s">
        <v>832</v>
      </c>
    </row>
    <row r="155" spans="1:10" x14ac:dyDescent="0.3">
      <c r="B155" s="4" t="s">
        <v>47</v>
      </c>
      <c r="C155" s="4" t="s">
        <v>1020</v>
      </c>
      <c r="D155" s="4" t="s">
        <v>787</v>
      </c>
      <c r="E155" s="4" t="s">
        <v>795</v>
      </c>
      <c r="F155" s="4" t="s">
        <v>803</v>
      </c>
      <c r="G155" s="4" t="s">
        <v>811</v>
      </c>
      <c r="H155" s="4" t="s">
        <v>819</v>
      </c>
      <c r="I155" s="4" t="s">
        <v>833</v>
      </c>
      <c r="J155" s="4" t="s">
        <v>834</v>
      </c>
    </row>
    <row r="156" spans="1:10" x14ac:dyDescent="0.3">
      <c r="B156" s="4" t="s">
        <v>56</v>
      </c>
      <c r="C156" s="4" t="s">
        <v>1021</v>
      </c>
      <c r="D156" s="4" t="s">
        <v>788</v>
      </c>
      <c r="E156" s="4" t="s">
        <v>796</v>
      </c>
      <c r="F156" s="4" t="s">
        <v>804</v>
      </c>
      <c r="G156" s="4" t="s">
        <v>812</v>
      </c>
      <c r="H156" s="4" t="s">
        <v>820</v>
      </c>
      <c r="I156" s="4" t="s">
        <v>835</v>
      </c>
      <c r="J156" s="4" t="s">
        <v>836</v>
      </c>
    </row>
    <row r="160" spans="1:10" x14ac:dyDescent="0.3">
      <c r="A160" s="4" t="s">
        <v>1051</v>
      </c>
      <c r="C160" s="1" t="str">
        <f>A160&amp;"Spot"</f>
        <v>FRFSpot</v>
      </c>
      <c r="D160" s="1" t="str">
        <f>$A160&amp;"Fwd3m"</f>
        <v>FRFFwd3m</v>
      </c>
      <c r="E160" s="1" t="str">
        <f>$A160&amp;"Fwd6m"</f>
        <v>FRFFwd6m</v>
      </c>
      <c r="F160" s="1" t="str">
        <f>$A160&amp;"Fwd1y"</f>
        <v>FRFFwd1y</v>
      </c>
      <c r="G160" s="1" t="str">
        <f>$A160&amp;"Fwd2y"</f>
        <v>FRFFwd2y</v>
      </c>
      <c r="H160" s="1" t="str">
        <f>$A160&amp;"Fwd3y"</f>
        <v>FRFFwd3y</v>
      </c>
      <c r="I160" s="1" t="str">
        <f>$A160&amp;"Fwd4y"</f>
        <v>FRFFwd4y</v>
      </c>
      <c r="J160" s="1" t="str">
        <f>$A160&amp;"Fwd5y"</f>
        <v>FRFFwd5y</v>
      </c>
    </row>
    <row r="161" spans="1:10" x14ac:dyDescent="0.3">
      <c r="B161" s="4" t="s">
        <v>2</v>
      </c>
      <c r="C161" s="4" t="s">
        <v>1022</v>
      </c>
      <c r="D161" s="4" t="s">
        <v>837</v>
      </c>
      <c r="E161" s="4" t="s">
        <v>845</v>
      </c>
      <c r="F161" s="4" t="s">
        <v>853</v>
      </c>
      <c r="G161" s="4" t="s">
        <v>861</v>
      </c>
      <c r="H161" s="4" t="s">
        <v>869</v>
      </c>
      <c r="I161" s="4" t="s">
        <v>877</v>
      </c>
      <c r="J161" s="4" t="s">
        <v>878</v>
      </c>
    </row>
    <row r="162" spans="1:10" x14ac:dyDescent="0.3">
      <c r="B162" s="4" t="s">
        <v>73</v>
      </c>
      <c r="C162" s="4" t="s">
        <v>1023</v>
      </c>
      <c r="D162" s="4" t="s">
        <v>838</v>
      </c>
      <c r="E162" s="4" t="s">
        <v>846</v>
      </c>
      <c r="F162" s="4" t="s">
        <v>854</v>
      </c>
      <c r="G162" s="4" t="s">
        <v>862</v>
      </c>
      <c r="H162" s="4" t="s">
        <v>870</v>
      </c>
      <c r="I162" s="4" t="s">
        <v>879</v>
      </c>
      <c r="J162" s="4" t="s">
        <v>880</v>
      </c>
    </row>
    <row r="163" spans="1:10" x14ac:dyDescent="0.3">
      <c r="B163" s="4" t="s">
        <v>11</v>
      </c>
      <c r="C163" s="4" t="s">
        <v>1024</v>
      </c>
      <c r="D163" s="4" t="s">
        <v>839</v>
      </c>
      <c r="E163" s="4" t="s">
        <v>847</v>
      </c>
      <c r="F163" s="4" t="s">
        <v>855</v>
      </c>
      <c r="G163" s="4" t="s">
        <v>863</v>
      </c>
      <c r="H163" s="4" t="s">
        <v>871</v>
      </c>
      <c r="I163" s="4" t="s">
        <v>881</v>
      </c>
      <c r="J163" s="4" t="s">
        <v>882</v>
      </c>
    </row>
    <row r="164" spans="1:10" x14ac:dyDescent="0.3">
      <c r="B164" s="4" t="s">
        <v>20</v>
      </c>
      <c r="C164" s="4" t="s">
        <v>1025</v>
      </c>
      <c r="D164" s="4" t="s">
        <v>840</v>
      </c>
      <c r="E164" s="4" t="s">
        <v>848</v>
      </c>
      <c r="F164" s="4" t="s">
        <v>856</v>
      </c>
      <c r="G164" s="4" t="s">
        <v>864</v>
      </c>
      <c r="H164" s="4" t="s">
        <v>872</v>
      </c>
      <c r="I164" s="4" t="s">
        <v>883</v>
      </c>
      <c r="J164" s="4" t="s">
        <v>884</v>
      </c>
    </row>
    <row r="165" spans="1:10" x14ac:dyDescent="0.3">
      <c r="B165" s="4" t="s">
        <v>29</v>
      </c>
      <c r="C165" s="4" t="s">
        <v>1026</v>
      </c>
      <c r="D165" s="4" t="s">
        <v>841</v>
      </c>
      <c r="E165" s="4" t="s">
        <v>849</v>
      </c>
      <c r="F165" s="4" t="s">
        <v>857</v>
      </c>
      <c r="G165" s="4" t="s">
        <v>865</v>
      </c>
      <c r="H165" s="4" t="s">
        <v>873</v>
      </c>
      <c r="I165" s="4" t="s">
        <v>885</v>
      </c>
      <c r="J165" s="4" t="s">
        <v>886</v>
      </c>
    </row>
    <row r="166" spans="1:10" x14ac:dyDescent="0.3">
      <c r="B166" s="4" t="s">
        <v>38</v>
      </c>
      <c r="C166" s="4" t="s">
        <v>1027</v>
      </c>
      <c r="D166" s="4" t="s">
        <v>842</v>
      </c>
      <c r="E166" s="4" t="s">
        <v>850</v>
      </c>
      <c r="F166" s="4" t="s">
        <v>858</v>
      </c>
      <c r="G166" s="4" t="s">
        <v>866</v>
      </c>
      <c r="H166" s="4" t="s">
        <v>874</v>
      </c>
      <c r="I166" s="4" t="s">
        <v>887</v>
      </c>
      <c r="J166" s="4" t="s">
        <v>888</v>
      </c>
    </row>
    <row r="167" spans="1:10" x14ac:dyDescent="0.3">
      <c r="B167" s="4" t="s">
        <v>47</v>
      </c>
      <c r="C167" s="4" t="s">
        <v>1028</v>
      </c>
      <c r="D167" s="4" t="s">
        <v>843</v>
      </c>
      <c r="E167" s="4" t="s">
        <v>851</v>
      </c>
      <c r="F167" s="4" t="s">
        <v>859</v>
      </c>
      <c r="G167" s="4" t="s">
        <v>867</v>
      </c>
      <c r="H167" s="4" t="s">
        <v>875</v>
      </c>
      <c r="I167" s="4" t="s">
        <v>889</v>
      </c>
      <c r="J167" s="4" t="s">
        <v>890</v>
      </c>
    </row>
    <row r="168" spans="1:10" x14ac:dyDescent="0.3">
      <c r="B168" s="4" t="s">
        <v>56</v>
      </c>
      <c r="C168" s="4" t="s">
        <v>1029</v>
      </c>
      <c r="D168" s="4" t="s">
        <v>844</v>
      </c>
      <c r="E168" s="4" t="s">
        <v>852</v>
      </c>
      <c r="F168" s="4" t="s">
        <v>860</v>
      </c>
      <c r="G168" s="4" t="s">
        <v>868</v>
      </c>
      <c r="H168" s="4" t="s">
        <v>876</v>
      </c>
      <c r="I168" s="4" t="s">
        <v>891</v>
      </c>
      <c r="J168" s="4" t="s">
        <v>892</v>
      </c>
    </row>
    <row r="172" spans="1:10" x14ac:dyDescent="0.3">
      <c r="A172" s="4" t="s">
        <v>893</v>
      </c>
      <c r="C172" s="1" t="str">
        <f>A172&amp;"Spot"</f>
        <v>GBPSpot</v>
      </c>
      <c r="D172" s="1" t="str">
        <f>$A172&amp;"Fwd3m"</f>
        <v>GBPFwd3m</v>
      </c>
      <c r="E172" s="1" t="str">
        <f>$A172&amp;"Fwd6m"</f>
        <v>GBPFwd6m</v>
      </c>
      <c r="F172" s="1" t="str">
        <f>$A172&amp;"Fwd1y"</f>
        <v>GBPFwd1y</v>
      </c>
      <c r="G172" s="1" t="str">
        <f>$A172&amp;"Fwd2y"</f>
        <v>GBPFwd2y</v>
      </c>
      <c r="H172" s="1" t="str">
        <f>$A172&amp;"Fwd3y"</f>
        <v>GBPFwd3y</v>
      </c>
      <c r="I172" s="1" t="str">
        <f>$A172&amp;"Fwd4y"</f>
        <v>GBPFwd4y</v>
      </c>
      <c r="J172" s="1" t="str">
        <f>$A172&amp;"Fwd5y"</f>
        <v>GBPFwd5y</v>
      </c>
    </row>
    <row r="173" spans="1:10" x14ac:dyDescent="0.3">
      <c r="B173" s="4" t="s">
        <v>2</v>
      </c>
      <c r="C173" s="4" t="s">
        <v>894</v>
      </c>
      <c r="D173" s="4" t="s">
        <v>902</v>
      </c>
      <c r="E173" s="4" t="s">
        <v>910</v>
      </c>
      <c r="F173" s="4" t="s">
        <v>918</v>
      </c>
      <c r="G173" s="4" t="s">
        <v>926</v>
      </c>
      <c r="H173" s="4" t="s">
        <v>934</v>
      </c>
      <c r="I173" s="4" t="s">
        <v>942</v>
      </c>
      <c r="J173" s="4" t="s">
        <v>950</v>
      </c>
    </row>
    <row r="174" spans="1:10" x14ac:dyDescent="0.3">
      <c r="B174" s="4" t="s">
        <v>73</v>
      </c>
      <c r="C174" s="4" t="s">
        <v>895</v>
      </c>
      <c r="D174" s="4" t="s">
        <v>903</v>
      </c>
      <c r="E174" s="4" t="s">
        <v>911</v>
      </c>
      <c r="F174" s="4" t="s">
        <v>919</v>
      </c>
      <c r="G174" s="4" t="s">
        <v>927</v>
      </c>
      <c r="H174" s="4" t="s">
        <v>935</v>
      </c>
      <c r="I174" s="4" t="s">
        <v>943</v>
      </c>
      <c r="J174" s="4" t="s">
        <v>951</v>
      </c>
    </row>
    <row r="175" spans="1:10" x14ac:dyDescent="0.3">
      <c r="B175" s="4" t="s">
        <v>11</v>
      </c>
      <c r="C175" s="4" t="s">
        <v>896</v>
      </c>
      <c r="D175" s="4" t="s">
        <v>904</v>
      </c>
      <c r="E175" s="4" t="s">
        <v>912</v>
      </c>
      <c r="F175" s="4" t="s">
        <v>920</v>
      </c>
      <c r="G175" s="4" t="s">
        <v>928</v>
      </c>
      <c r="H175" s="4" t="s">
        <v>936</v>
      </c>
      <c r="I175" s="4" t="s">
        <v>944</v>
      </c>
      <c r="J175" s="4" t="s">
        <v>952</v>
      </c>
    </row>
    <row r="176" spans="1:10" x14ac:dyDescent="0.3">
      <c r="B176" s="4" t="s">
        <v>20</v>
      </c>
      <c r="C176" s="4" t="s">
        <v>897</v>
      </c>
      <c r="D176" s="4" t="s">
        <v>905</v>
      </c>
      <c r="E176" s="4" t="s">
        <v>913</v>
      </c>
      <c r="F176" s="4" t="s">
        <v>921</v>
      </c>
      <c r="G176" s="4" t="s">
        <v>929</v>
      </c>
      <c r="H176" s="4" t="s">
        <v>937</v>
      </c>
      <c r="I176" s="4" t="s">
        <v>945</v>
      </c>
      <c r="J176" s="4" t="s">
        <v>953</v>
      </c>
    </row>
    <row r="177" spans="1:10" x14ac:dyDescent="0.3">
      <c r="B177" s="4" t="s">
        <v>29</v>
      </c>
      <c r="C177" s="4" t="s">
        <v>898</v>
      </c>
      <c r="D177" s="4" t="s">
        <v>906</v>
      </c>
      <c r="E177" s="4" t="s">
        <v>914</v>
      </c>
      <c r="F177" s="4" t="s">
        <v>922</v>
      </c>
      <c r="G177" s="4" t="s">
        <v>930</v>
      </c>
      <c r="H177" s="4" t="s">
        <v>938</v>
      </c>
      <c r="I177" s="4" t="s">
        <v>946</v>
      </c>
      <c r="J177" s="4" t="s">
        <v>954</v>
      </c>
    </row>
    <row r="178" spans="1:10" x14ac:dyDescent="0.3">
      <c r="B178" s="4" t="s">
        <v>38</v>
      </c>
      <c r="C178" s="4" t="s">
        <v>899</v>
      </c>
      <c r="D178" s="4" t="s">
        <v>907</v>
      </c>
      <c r="E178" s="4" t="s">
        <v>915</v>
      </c>
      <c r="F178" s="4" t="s">
        <v>923</v>
      </c>
      <c r="G178" s="4" t="s">
        <v>931</v>
      </c>
      <c r="H178" s="4" t="s">
        <v>939</v>
      </c>
      <c r="I178" s="4" t="s">
        <v>947</v>
      </c>
      <c r="J178" s="4" t="s">
        <v>955</v>
      </c>
    </row>
    <row r="179" spans="1:10" x14ac:dyDescent="0.3">
      <c r="B179" s="4" t="s">
        <v>47</v>
      </c>
      <c r="C179" s="4" t="s">
        <v>900</v>
      </c>
      <c r="D179" s="4" t="s">
        <v>908</v>
      </c>
      <c r="E179" s="4" t="s">
        <v>916</v>
      </c>
      <c r="F179" s="4" t="s">
        <v>924</v>
      </c>
      <c r="G179" s="4" t="s">
        <v>932</v>
      </c>
      <c r="H179" s="4" t="s">
        <v>940</v>
      </c>
      <c r="I179" s="4" t="s">
        <v>948</v>
      </c>
      <c r="J179" s="4" t="s">
        <v>956</v>
      </c>
    </row>
    <row r="180" spans="1:10" x14ac:dyDescent="0.3">
      <c r="B180" s="4" t="s">
        <v>56</v>
      </c>
      <c r="C180" s="4" t="s">
        <v>901</v>
      </c>
      <c r="D180" s="4" t="s">
        <v>909</v>
      </c>
      <c r="E180" s="4" t="s">
        <v>917</v>
      </c>
      <c r="F180" s="4" t="s">
        <v>925</v>
      </c>
      <c r="G180" s="4" t="s">
        <v>933</v>
      </c>
      <c r="H180" s="4" t="s">
        <v>941</v>
      </c>
      <c r="I180" s="4" t="s">
        <v>949</v>
      </c>
      <c r="J180" s="4" t="s">
        <v>957</v>
      </c>
    </row>
    <row r="184" spans="1:10" x14ac:dyDescent="0.3">
      <c r="A184" s="4" t="s">
        <v>1052</v>
      </c>
      <c r="C184" s="1" t="str">
        <f>A184&amp;"Spot"</f>
        <v>ITLSpot</v>
      </c>
      <c r="D184" s="1" t="str">
        <f>$A184&amp;"Fwd3m"</f>
        <v>ITLFwd3m</v>
      </c>
      <c r="E184" s="1" t="str">
        <f>$A184&amp;"Fwd6m"</f>
        <v>ITLFwd6m</v>
      </c>
      <c r="F184" s="1" t="str">
        <f>$A184&amp;"Fwd1y"</f>
        <v>ITLFwd1y</v>
      </c>
      <c r="G184" s="1" t="str">
        <f>$A184&amp;"Fwd2y"</f>
        <v>ITLFwd2y</v>
      </c>
      <c r="H184" s="1" t="str">
        <f>$A184&amp;"Fwd3y"</f>
        <v>ITLFwd3y</v>
      </c>
      <c r="I184" s="1" t="str">
        <f>$A184&amp;"Fwd4y"</f>
        <v>ITLFwd4y</v>
      </c>
      <c r="J184" s="1" t="str">
        <f>$A184&amp;"Fwd5y"</f>
        <v>ITLFwd5y</v>
      </c>
    </row>
    <row r="185" spans="1:10" x14ac:dyDescent="0.3">
      <c r="B185" s="4" t="s">
        <v>2</v>
      </c>
      <c r="C185" s="4" t="s">
        <v>1030</v>
      </c>
      <c r="D185" s="4" t="s">
        <v>958</v>
      </c>
      <c r="E185" s="4" t="s">
        <v>966</v>
      </c>
      <c r="F185" s="4" t="s">
        <v>974</v>
      </c>
      <c r="G185" s="4" t="s">
        <v>982</v>
      </c>
      <c r="H185" s="4" t="s">
        <v>990</v>
      </c>
      <c r="I185" s="4" t="s">
        <v>998</v>
      </c>
      <c r="J185" s="4" t="s">
        <v>1006</v>
      </c>
    </row>
    <row r="186" spans="1:10" x14ac:dyDescent="0.3">
      <c r="B186" s="4" t="s">
        <v>73</v>
      </c>
      <c r="C186" s="4" t="s">
        <v>1031</v>
      </c>
      <c r="D186" s="4" t="s">
        <v>959</v>
      </c>
      <c r="E186" s="4" t="s">
        <v>967</v>
      </c>
      <c r="F186" s="4" t="s">
        <v>975</v>
      </c>
      <c r="G186" s="4" t="s">
        <v>983</v>
      </c>
      <c r="H186" s="4" t="s">
        <v>991</v>
      </c>
      <c r="I186" s="4" t="s">
        <v>999</v>
      </c>
      <c r="J186" s="4" t="s">
        <v>1007</v>
      </c>
    </row>
    <row r="187" spans="1:10" x14ac:dyDescent="0.3">
      <c r="B187" s="4" t="s">
        <v>11</v>
      </c>
      <c r="C187" s="4" t="s">
        <v>1032</v>
      </c>
      <c r="D187" s="4" t="s">
        <v>960</v>
      </c>
      <c r="E187" s="4" t="s">
        <v>968</v>
      </c>
      <c r="F187" s="4" t="s">
        <v>976</v>
      </c>
      <c r="G187" s="4" t="s">
        <v>984</v>
      </c>
      <c r="H187" s="4" t="s">
        <v>992</v>
      </c>
      <c r="I187" s="4" t="s">
        <v>1000</v>
      </c>
      <c r="J187" s="4" t="s">
        <v>1008</v>
      </c>
    </row>
    <row r="188" spans="1:10" x14ac:dyDescent="0.3">
      <c r="B188" s="4" t="s">
        <v>20</v>
      </c>
      <c r="C188" s="4" t="s">
        <v>1033</v>
      </c>
      <c r="D188" s="4" t="s">
        <v>961</v>
      </c>
      <c r="E188" s="4" t="s">
        <v>969</v>
      </c>
      <c r="F188" s="4" t="s">
        <v>977</v>
      </c>
      <c r="G188" s="4" t="s">
        <v>985</v>
      </c>
      <c r="H188" s="4" t="s">
        <v>993</v>
      </c>
      <c r="I188" s="4" t="s">
        <v>1001</v>
      </c>
      <c r="J188" s="4" t="s">
        <v>1009</v>
      </c>
    </row>
    <row r="189" spans="1:10" x14ac:dyDescent="0.3">
      <c r="B189" s="4" t="s">
        <v>29</v>
      </c>
      <c r="C189" s="4" t="s">
        <v>1034</v>
      </c>
      <c r="D189" s="4" t="s">
        <v>962</v>
      </c>
      <c r="E189" s="4" t="s">
        <v>970</v>
      </c>
      <c r="F189" s="4" t="s">
        <v>978</v>
      </c>
      <c r="G189" s="4" t="s">
        <v>986</v>
      </c>
      <c r="H189" s="4" t="s">
        <v>994</v>
      </c>
      <c r="I189" s="4" t="s">
        <v>1002</v>
      </c>
      <c r="J189" s="4" t="s">
        <v>1010</v>
      </c>
    </row>
    <row r="190" spans="1:10" x14ac:dyDescent="0.3">
      <c r="B190" s="4" t="s">
        <v>38</v>
      </c>
      <c r="C190" s="4" t="s">
        <v>1035</v>
      </c>
      <c r="D190" s="4" t="s">
        <v>963</v>
      </c>
      <c r="E190" s="4" t="s">
        <v>971</v>
      </c>
      <c r="F190" s="4" t="s">
        <v>979</v>
      </c>
      <c r="G190" s="4" t="s">
        <v>987</v>
      </c>
      <c r="H190" s="4" t="s">
        <v>995</v>
      </c>
      <c r="I190" s="4" t="s">
        <v>1003</v>
      </c>
      <c r="J190" s="4" t="s">
        <v>1011</v>
      </c>
    </row>
    <row r="191" spans="1:10" x14ac:dyDescent="0.3">
      <c r="B191" s="4" t="s">
        <v>47</v>
      </c>
      <c r="C191" s="4" t="s">
        <v>1036</v>
      </c>
      <c r="D191" s="4" t="s">
        <v>964</v>
      </c>
      <c r="E191" s="4" t="s">
        <v>972</v>
      </c>
      <c r="F191" s="4" t="s">
        <v>980</v>
      </c>
      <c r="G191" s="4" t="s">
        <v>988</v>
      </c>
      <c r="H191" s="4" t="s">
        <v>996</v>
      </c>
      <c r="I191" s="4" t="s">
        <v>1004</v>
      </c>
      <c r="J191" s="4" t="s">
        <v>1012</v>
      </c>
    </row>
    <row r="192" spans="1:10" x14ac:dyDescent="0.3">
      <c r="B192" s="4" t="s">
        <v>56</v>
      </c>
      <c r="C192" s="4" t="s">
        <v>1037</v>
      </c>
      <c r="D192" s="4" t="s">
        <v>965</v>
      </c>
      <c r="E192" s="4" t="s">
        <v>973</v>
      </c>
      <c r="F192" s="4" t="s">
        <v>981</v>
      </c>
      <c r="G192" s="4" t="s">
        <v>989</v>
      </c>
      <c r="H192" s="4" t="s">
        <v>997</v>
      </c>
      <c r="I192" s="4" t="s">
        <v>1005</v>
      </c>
      <c r="J192" s="4" t="s">
        <v>1013</v>
      </c>
    </row>
    <row r="196" spans="1:10" x14ac:dyDescent="0.3">
      <c r="A196" s="4" t="s">
        <v>1053</v>
      </c>
      <c r="C196" s="1" t="str">
        <f>A196&amp;"Spot"</f>
        <v>MXNSpot</v>
      </c>
      <c r="D196" s="1" t="str">
        <f>$A196&amp;"Fwd3m"</f>
        <v>MXNFwd3m</v>
      </c>
      <c r="E196" s="1" t="str">
        <f>$A196&amp;"Fwd6m"</f>
        <v>MXNFwd6m</v>
      </c>
      <c r="F196" s="1" t="str">
        <f>$A196&amp;"Fwd1y"</f>
        <v>MXNFwd1y</v>
      </c>
      <c r="G196" s="1" t="str">
        <f>$A196&amp;"Fwd2y"</f>
        <v>MXNFwd2y</v>
      </c>
      <c r="H196" s="1" t="str">
        <f>$A196&amp;"Fwd3y"</f>
        <v>MXNFwd3y</v>
      </c>
      <c r="I196" s="1" t="str">
        <f>$A196&amp;"Fwd4y"</f>
        <v>MXNFwd4y</v>
      </c>
      <c r="J196" s="1" t="str">
        <f>$A196&amp;"Fwd5y"</f>
        <v>MXNFwd5y</v>
      </c>
    </row>
    <row r="197" spans="1:10" x14ac:dyDescent="0.3">
      <c r="A197" s="10"/>
      <c r="B197" s="10" t="s">
        <v>2</v>
      </c>
      <c r="C197" s="10" t="s">
        <v>1055</v>
      </c>
      <c r="D197" s="10" t="s">
        <v>1056</v>
      </c>
      <c r="E197" s="10" t="s">
        <v>1057</v>
      </c>
      <c r="F197" s="10" t="s">
        <v>1058</v>
      </c>
      <c r="G197" s="10" t="s">
        <v>1059</v>
      </c>
      <c r="H197" s="10" t="s">
        <v>1060</v>
      </c>
      <c r="I197" s="10" t="s">
        <v>1061</v>
      </c>
      <c r="J197" s="10" t="s">
        <v>1062</v>
      </c>
    </row>
    <row r="198" spans="1:10" x14ac:dyDescent="0.3">
      <c r="A198" s="10"/>
      <c r="B198" s="10" t="s">
        <v>73</v>
      </c>
      <c r="C198" s="10" t="s">
        <v>1063</v>
      </c>
      <c r="D198" s="10" t="s">
        <v>1064</v>
      </c>
      <c r="E198" s="10" t="s">
        <v>1065</v>
      </c>
      <c r="F198" s="10" t="s">
        <v>1066</v>
      </c>
      <c r="G198" s="10" t="s">
        <v>1067</v>
      </c>
      <c r="H198" s="10" t="s">
        <v>1068</v>
      </c>
      <c r="I198" s="10" t="s">
        <v>1069</v>
      </c>
      <c r="J198" s="10" t="s">
        <v>1070</v>
      </c>
    </row>
    <row r="199" spans="1:10" x14ac:dyDescent="0.3">
      <c r="A199" s="10"/>
      <c r="B199" s="10" t="s">
        <v>11</v>
      </c>
      <c r="C199" s="10" t="s">
        <v>1071</v>
      </c>
      <c r="D199" s="10" t="s">
        <v>1072</v>
      </c>
      <c r="E199" s="10" t="s">
        <v>1073</v>
      </c>
      <c r="F199" s="10" t="s">
        <v>1074</v>
      </c>
      <c r="G199" s="10" t="s">
        <v>1075</v>
      </c>
      <c r="H199" s="10" t="s">
        <v>1076</v>
      </c>
      <c r="I199" s="10" t="s">
        <v>1077</v>
      </c>
      <c r="J199" s="10" t="s">
        <v>1078</v>
      </c>
    </row>
    <row r="200" spans="1:10" x14ac:dyDescent="0.3">
      <c r="A200" s="10"/>
      <c r="B200" s="10" t="s">
        <v>20</v>
      </c>
      <c r="C200" s="10" t="s">
        <v>1079</v>
      </c>
      <c r="D200" s="10" t="s">
        <v>1080</v>
      </c>
      <c r="E200" s="10" t="s">
        <v>1081</v>
      </c>
      <c r="F200" s="10" t="s">
        <v>1082</v>
      </c>
      <c r="G200" s="10" t="s">
        <v>1083</v>
      </c>
      <c r="H200" s="10" t="s">
        <v>1084</v>
      </c>
      <c r="I200" s="10" t="s">
        <v>1085</v>
      </c>
      <c r="J200" s="10" t="s">
        <v>1086</v>
      </c>
    </row>
    <row r="201" spans="1:10" x14ac:dyDescent="0.3">
      <c r="A201" s="10"/>
      <c r="B201" s="10" t="s">
        <v>29</v>
      </c>
      <c r="C201" s="10" t="s">
        <v>1087</v>
      </c>
      <c r="D201" s="10" t="s">
        <v>1088</v>
      </c>
      <c r="E201" s="10" t="s">
        <v>1089</v>
      </c>
      <c r="F201" s="10" t="s">
        <v>1090</v>
      </c>
      <c r="G201" s="10" t="s">
        <v>1091</v>
      </c>
      <c r="H201" s="10" t="s">
        <v>1092</v>
      </c>
      <c r="I201" s="10" t="s">
        <v>1093</v>
      </c>
      <c r="J201" s="10" t="s">
        <v>1094</v>
      </c>
    </row>
    <row r="202" spans="1:10" x14ac:dyDescent="0.3">
      <c r="A202" s="10"/>
      <c r="B202" s="10" t="s">
        <v>38</v>
      </c>
      <c r="C202" s="10" t="s">
        <v>1095</v>
      </c>
      <c r="D202" s="10" t="s">
        <v>1096</v>
      </c>
      <c r="E202" s="10" t="s">
        <v>1097</v>
      </c>
      <c r="F202" s="10" t="s">
        <v>1098</v>
      </c>
      <c r="G202" s="10" t="s">
        <v>1099</v>
      </c>
      <c r="H202" s="10" t="s">
        <v>1100</v>
      </c>
      <c r="I202" s="10" t="s">
        <v>1101</v>
      </c>
      <c r="J202" s="10" t="s">
        <v>1102</v>
      </c>
    </row>
    <row r="203" spans="1:10" x14ac:dyDescent="0.3">
      <c r="A203" s="10"/>
      <c r="B203" s="10" t="s">
        <v>47</v>
      </c>
      <c r="C203" s="10" t="s">
        <v>1103</v>
      </c>
      <c r="D203" s="10" t="s">
        <v>1104</v>
      </c>
      <c r="E203" s="10" t="s">
        <v>1105</v>
      </c>
      <c r="F203" s="10" t="s">
        <v>1106</v>
      </c>
      <c r="G203" s="10" t="s">
        <v>1107</v>
      </c>
      <c r="H203" s="10" t="s">
        <v>1108</v>
      </c>
      <c r="I203" s="10" t="s">
        <v>1109</v>
      </c>
      <c r="J203" s="10" t="s">
        <v>1110</v>
      </c>
    </row>
    <row r="204" spans="1:10" x14ac:dyDescent="0.3">
      <c r="A204" s="10"/>
      <c r="B204" s="10" t="s">
        <v>56</v>
      </c>
      <c r="C204" s="10" t="s">
        <v>1111</v>
      </c>
      <c r="D204" s="10" t="s">
        <v>1112</v>
      </c>
      <c r="E204" s="10" t="s">
        <v>1113</v>
      </c>
      <c r="F204" s="10" t="s">
        <v>1114</v>
      </c>
      <c r="G204" s="10" t="s">
        <v>1115</v>
      </c>
      <c r="H204" s="10" t="s">
        <v>1116</v>
      </c>
      <c r="I204" s="10" t="s">
        <v>1117</v>
      </c>
      <c r="J204" s="10" t="s">
        <v>1118</v>
      </c>
    </row>
    <row r="208" spans="1:10" x14ac:dyDescent="0.3">
      <c r="A208" s="4" t="s">
        <v>1119</v>
      </c>
      <c r="C208" s="1" t="str">
        <f>A208&amp;"Spot"</f>
        <v>ZARSpot</v>
      </c>
      <c r="D208" s="1" t="str">
        <f>$A208&amp;"Fwd3m"</f>
        <v>ZARFwd3m</v>
      </c>
      <c r="E208" s="1" t="str">
        <f>$A208&amp;"Fwd6m"</f>
        <v>ZARFwd6m</v>
      </c>
      <c r="F208" s="1" t="str">
        <f>$A208&amp;"Fwd1y"</f>
        <v>ZARFwd1y</v>
      </c>
      <c r="G208" s="1" t="str">
        <f>$A208&amp;"Fwd2y"</f>
        <v>ZARFwd2y</v>
      </c>
      <c r="H208" s="1" t="str">
        <f>$A208&amp;"Fwd3y"</f>
        <v>ZARFwd3y</v>
      </c>
      <c r="I208" s="1" t="str">
        <f>$A208&amp;"Fwd4y"</f>
        <v>ZARFwd4y</v>
      </c>
      <c r="J208" s="1" t="str">
        <f>$A208&amp;"Fwd5y"</f>
        <v>ZARFwd5y</v>
      </c>
    </row>
    <row r="209" spans="1:10" x14ac:dyDescent="0.3">
      <c r="B209" s="10" t="s">
        <v>2</v>
      </c>
      <c r="C209" s="4" t="s">
        <v>1120</v>
      </c>
      <c r="D209" s="4" t="s">
        <v>1128</v>
      </c>
      <c r="E209" s="4" t="s">
        <v>1136</v>
      </c>
      <c r="F209" s="4" t="s">
        <v>1144</v>
      </c>
      <c r="G209" s="4" t="s">
        <v>1152</v>
      </c>
      <c r="H209" s="4" t="s">
        <v>1160</v>
      </c>
      <c r="I209" s="4" t="s">
        <v>1168</v>
      </c>
      <c r="J209" s="4" t="s">
        <v>1176</v>
      </c>
    </row>
    <row r="210" spans="1:10" x14ac:dyDescent="0.3">
      <c r="B210" s="10" t="s">
        <v>73</v>
      </c>
      <c r="C210" s="4" t="s">
        <v>1121</v>
      </c>
      <c r="D210" s="4" t="s">
        <v>1129</v>
      </c>
      <c r="E210" s="4" t="s">
        <v>1137</v>
      </c>
      <c r="F210" s="4" t="s">
        <v>1145</v>
      </c>
      <c r="G210" s="4" t="s">
        <v>1153</v>
      </c>
      <c r="H210" s="4" t="s">
        <v>1161</v>
      </c>
      <c r="I210" s="4" t="s">
        <v>1169</v>
      </c>
      <c r="J210" s="4" t="s">
        <v>1177</v>
      </c>
    </row>
    <row r="211" spans="1:10" x14ac:dyDescent="0.3">
      <c r="B211" s="10" t="s">
        <v>11</v>
      </c>
      <c r="C211" s="4" t="s">
        <v>1122</v>
      </c>
      <c r="D211" s="4" t="s">
        <v>1130</v>
      </c>
      <c r="E211" s="4" t="s">
        <v>1138</v>
      </c>
      <c r="F211" s="4" t="s">
        <v>1146</v>
      </c>
      <c r="G211" s="4" t="s">
        <v>1154</v>
      </c>
      <c r="H211" s="4" t="s">
        <v>1162</v>
      </c>
      <c r="I211" s="4" t="s">
        <v>1170</v>
      </c>
      <c r="J211" s="4" t="s">
        <v>1178</v>
      </c>
    </row>
    <row r="212" spans="1:10" x14ac:dyDescent="0.3">
      <c r="B212" s="10" t="s">
        <v>20</v>
      </c>
      <c r="C212" s="4" t="s">
        <v>1123</v>
      </c>
      <c r="D212" s="4" t="s">
        <v>1131</v>
      </c>
      <c r="E212" s="4" t="s">
        <v>1139</v>
      </c>
      <c r="F212" s="4" t="s">
        <v>1147</v>
      </c>
      <c r="G212" s="4" t="s">
        <v>1155</v>
      </c>
      <c r="H212" s="4" t="s">
        <v>1163</v>
      </c>
      <c r="I212" s="4" t="s">
        <v>1171</v>
      </c>
      <c r="J212" s="4" t="s">
        <v>1179</v>
      </c>
    </row>
    <row r="213" spans="1:10" x14ac:dyDescent="0.3">
      <c r="B213" s="10" t="s">
        <v>29</v>
      </c>
      <c r="C213" s="4" t="s">
        <v>1124</v>
      </c>
      <c r="D213" s="4" t="s">
        <v>1132</v>
      </c>
      <c r="E213" s="4" t="s">
        <v>1140</v>
      </c>
      <c r="F213" s="4" t="s">
        <v>1148</v>
      </c>
      <c r="G213" s="4" t="s">
        <v>1156</v>
      </c>
      <c r="H213" s="4" t="s">
        <v>1164</v>
      </c>
      <c r="I213" s="4" t="s">
        <v>1172</v>
      </c>
      <c r="J213" s="4" t="s">
        <v>1180</v>
      </c>
    </row>
    <row r="214" spans="1:10" x14ac:dyDescent="0.3">
      <c r="B214" s="10" t="s">
        <v>38</v>
      </c>
      <c r="C214" s="4" t="s">
        <v>1125</v>
      </c>
      <c r="D214" s="4" t="s">
        <v>1133</v>
      </c>
      <c r="E214" s="4" t="s">
        <v>1141</v>
      </c>
      <c r="F214" s="4" t="s">
        <v>1149</v>
      </c>
      <c r="G214" s="4" t="s">
        <v>1157</v>
      </c>
      <c r="H214" s="4" t="s">
        <v>1165</v>
      </c>
      <c r="I214" s="4" t="s">
        <v>1173</v>
      </c>
      <c r="J214" s="4" t="s">
        <v>1181</v>
      </c>
    </row>
    <row r="215" spans="1:10" x14ac:dyDescent="0.3">
      <c r="B215" s="10" t="s">
        <v>47</v>
      </c>
      <c r="C215" s="4" t="s">
        <v>1126</v>
      </c>
      <c r="D215" s="4" t="s">
        <v>1134</v>
      </c>
      <c r="E215" s="4" t="s">
        <v>1142</v>
      </c>
      <c r="F215" s="4" t="s">
        <v>1150</v>
      </c>
      <c r="G215" s="4" t="s">
        <v>1158</v>
      </c>
      <c r="H215" s="4" t="s">
        <v>1166</v>
      </c>
      <c r="I215" s="4" t="s">
        <v>1174</v>
      </c>
      <c r="J215" s="4" t="s">
        <v>1182</v>
      </c>
    </row>
    <row r="216" spans="1:10" x14ac:dyDescent="0.3">
      <c r="B216" s="10" t="s">
        <v>56</v>
      </c>
      <c r="C216" s="4" t="s">
        <v>1127</v>
      </c>
      <c r="D216" s="4" t="s">
        <v>1135</v>
      </c>
      <c r="E216" s="4" t="s">
        <v>1143</v>
      </c>
      <c r="F216" s="4" t="s">
        <v>1151</v>
      </c>
      <c r="G216" s="4" t="s">
        <v>1159</v>
      </c>
      <c r="H216" s="4" t="s">
        <v>1167</v>
      </c>
      <c r="I216" s="4" t="s">
        <v>1175</v>
      </c>
      <c r="J216" s="4" t="s">
        <v>1183</v>
      </c>
    </row>
    <row r="220" spans="1:10" x14ac:dyDescent="0.3">
      <c r="A220" s="4" t="s">
        <v>1054</v>
      </c>
      <c r="C220" s="1" t="str">
        <f>A220&amp;"Spot"</f>
        <v>BRLSpot</v>
      </c>
      <c r="D220" s="1" t="str">
        <f>$A220&amp;"Fwd3m"</f>
        <v>BRLFwd3m</v>
      </c>
      <c r="E220" s="1" t="str">
        <f>$A220&amp;"Fwd6m"</f>
        <v>BRLFwd6m</v>
      </c>
      <c r="F220" s="1" t="str">
        <f>$A220&amp;"Fwd1y"</f>
        <v>BRLFwd1y</v>
      </c>
      <c r="G220" s="1" t="str">
        <f>$A220&amp;"Fwd2y"</f>
        <v>BRLFwd2y</v>
      </c>
      <c r="H220" s="1" t="str">
        <f>$A220&amp;"Fwd3y"</f>
        <v>BRLFwd3y</v>
      </c>
      <c r="I220" s="1" t="str">
        <f>$A220&amp;"Fwd4y"</f>
        <v>BRLFwd4y</v>
      </c>
      <c r="J220" s="11" t="str">
        <f>$A220&amp;"Fwd5y"</f>
        <v>BRLFwd5y</v>
      </c>
    </row>
    <row r="221" spans="1:10" x14ac:dyDescent="0.3">
      <c r="B221" s="10" t="s">
        <v>2</v>
      </c>
      <c r="C221" s="4" t="s">
        <v>1240</v>
      </c>
      <c r="D221" s="4" t="s">
        <v>1184</v>
      </c>
      <c r="E221" s="4" t="s">
        <v>1192</v>
      </c>
      <c r="F221" s="4" t="s">
        <v>1200</v>
      </c>
      <c r="G221" s="4" t="s">
        <v>1208</v>
      </c>
      <c r="H221" s="4" t="s">
        <v>1216</v>
      </c>
      <c r="I221" s="4" t="s">
        <v>1224</v>
      </c>
      <c r="J221" s="4" t="s">
        <v>1232</v>
      </c>
    </row>
    <row r="222" spans="1:10" x14ac:dyDescent="0.3">
      <c r="B222" s="10" t="s">
        <v>73</v>
      </c>
      <c r="C222" s="4" t="s">
        <v>1241</v>
      </c>
      <c r="D222" s="4" t="s">
        <v>1185</v>
      </c>
      <c r="E222" s="4" t="s">
        <v>1193</v>
      </c>
      <c r="F222" s="4" t="s">
        <v>1201</v>
      </c>
      <c r="G222" s="4" t="s">
        <v>1209</v>
      </c>
      <c r="H222" s="4" t="s">
        <v>1217</v>
      </c>
      <c r="I222" s="4" t="s">
        <v>1225</v>
      </c>
      <c r="J222" s="4" t="s">
        <v>1233</v>
      </c>
    </row>
    <row r="223" spans="1:10" x14ac:dyDescent="0.3">
      <c r="B223" s="10" t="s">
        <v>11</v>
      </c>
      <c r="C223" s="4" t="s">
        <v>1242</v>
      </c>
      <c r="D223" s="4" t="s">
        <v>1186</v>
      </c>
      <c r="E223" s="4" t="s">
        <v>1194</v>
      </c>
      <c r="F223" s="4" t="s">
        <v>1202</v>
      </c>
      <c r="G223" s="4" t="s">
        <v>1210</v>
      </c>
      <c r="H223" s="4" t="s">
        <v>1218</v>
      </c>
      <c r="I223" s="4" t="s">
        <v>1226</v>
      </c>
      <c r="J223" s="4" t="s">
        <v>1234</v>
      </c>
    </row>
    <row r="224" spans="1:10" x14ac:dyDescent="0.3">
      <c r="B224" s="10" t="s">
        <v>20</v>
      </c>
      <c r="C224" s="4" t="s">
        <v>1243</v>
      </c>
      <c r="D224" s="4" t="s">
        <v>1187</v>
      </c>
      <c r="E224" s="4" t="s">
        <v>1195</v>
      </c>
      <c r="F224" s="4" t="s">
        <v>1203</v>
      </c>
      <c r="G224" s="4" t="s">
        <v>1211</v>
      </c>
      <c r="H224" s="4" t="s">
        <v>1219</v>
      </c>
      <c r="I224" s="4" t="s">
        <v>1227</v>
      </c>
      <c r="J224" s="4" t="s">
        <v>1235</v>
      </c>
    </row>
    <row r="225" spans="2:10" x14ac:dyDescent="0.3">
      <c r="B225" s="10" t="s">
        <v>29</v>
      </c>
      <c r="C225" s="4" t="s">
        <v>1244</v>
      </c>
      <c r="D225" s="4" t="s">
        <v>1188</v>
      </c>
      <c r="E225" s="4" t="s">
        <v>1196</v>
      </c>
      <c r="F225" s="4" t="s">
        <v>1204</v>
      </c>
      <c r="G225" s="4" t="s">
        <v>1212</v>
      </c>
      <c r="H225" s="4" t="s">
        <v>1220</v>
      </c>
      <c r="I225" s="4" t="s">
        <v>1228</v>
      </c>
      <c r="J225" s="4" t="s">
        <v>1236</v>
      </c>
    </row>
    <row r="226" spans="2:10" x14ac:dyDescent="0.3">
      <c r="B226" s="10" t="s">
        <v>38</v>
      </c>
      <c r="C226" s="4" t="s">
        <v>1245</v>
      </c>
      <c r="D226" s="4" t="s">
        <v>1189</v>
      </c>
      <c r="E226" s="4" t="s">
        <v>1197</v>
      </c>
      <c r="F226" s="4" t="s">
        <v>1205</v>
      </c>
      <c r="G226" s="4" t="s">
        <v>1213</v>
      </c>
      <c r="H226" s="4" t="s">
        <v>1221</v>
      </c>
      <c r="I226" s="4" t="s">
        <v>1229</v>
      </c>
      <c r="J226" s="4" t="s">
        <v>1237</v>
      </c>
    </row>
    <row r="227" spans="2:10" x14ac:dyDescent="0.3">
      <c r="B227" s="10" t="s">
        <v>47</v>
      </c>
      <c r="C227" s="4" t="s">
        <v>1246</v>
      </c>
      <c r="D227" s="4" t="s">
        <v>1190</v>
      </c>
      <c r="E227" s="4" t="s">
        <v>1198</v>
      </c>
      <c r="F227" s="4" t="s">
        <v>1206</v>
      </c>
      <c r="G227" s="4" t="s">
        <v>1214</v>
      </c>
      <c r="H227" s="4" t="s">
        <v>1222</v>
      </c>
      <c r="I227" s="4" t="s">
        <v>1230</v>
      </c>
      <c r="J227" s="4" t="s">
        <v>1238</v>
      </c>
    </row>
    <row r="228" spans="2:10" x14ac:dyDescent="0.3">
      <c r="B228" s="4" t="s">
        <v>56</v>
      </c>
      <c r="C228" s="4" t="s">
        <v>1247</v>
      </c>
      <c r="D228" s="4" t="s">
        <v>1191</v>
      </c>
      <c r="E228" s="4" t="s">
        <v>1199</v>
      </c>
      <c r="F228" s="4" t="s">
        <v>1207</v>
      </c>
      <c r="G228" s="4" t="s">
        <v>1215</v>
      </c>
      <c r="H228" s="4" t="s">
        <v>1223</v>
      </c>
      <c r="I228" s="4" t="s">
        <v>1231</v>
      </c>
      <c r="J228" s="4" t="s">
        <v>1239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"/>
  <sheetViews>
    <sheetView workbookViewId="0">
      <selection activeCell="I11" sqref="I11:I12"/>
    </sheetView>
  </sheetViews>
  <sheetFormatPr defaultRowHeight="14.4" x14ac:dyDescent="0.3"/>
  <cols>
    <col min="1" max="1" width="12.6640625" customWidth="1"/>
  </cols>
  <sheetData>
    <row r="1" spans="1:2" x14ac:dyDescent="0.3">
      <c r="A1" t="s">
        <v>466</v>
      </c>
      <c r="B1" t="s">
        <v>468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</vt:i4>
      </vt:variant>
    </vt:vector>
  </HeadingPairs>
  <TitlesOfParts>
    <vt:vector size="23" baseType="lpstr">
      <vt:lpstr>Countries</vt:lpstr>
      <vt:lpstr>TickersSummary</vt:lpstr>
      <vt:lpstr>FileDirectory</vt:lpstr>
      <vt:lpstr>AUDs</vt:lpstr>
      <vt:lpstr>BRLs</vt:lpstr>
      <vt:lpstr>CNHs</vt:lpstr>
      <vt:lpstr>DEMs</vt:lpstr>
      <vt:lpstr>EONIAs</vt:lpstr>
      <vt:lpstr>EURs</vt:lpstr>
      <vt:lpstr>FRFs</vt:lpstr>
      <vt:lpstr>GBPs</vt:lpstr>
      <vt:lpstr>HKDs</vt:lpstr>
      <vt:lpstr>INRs</vt:lpstr>
      <vt:lpstr>ITLs</vt:lpstr>
      <vt:lpstr>KRWs</vt:lpstr>
      <vt:lpstr>MXNs</vt:lpstr>
      <vt:lpstr>MYRs</vt:lpstr>
      <vt:lpstr>NZDs</vt:lpstr>
      <vt:lpstr>SGDs</vt:lpstr>
      <vt:lpstr>THBs</vt:lpstr>
      <vt:lpstr>TWDs</vt:lpstr>
      <vt:lpstr>USDs</vt:lpstr>
      <vt:lpstr>ZARs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Luoying Li</dc:creator>
  <cp:lastModifiedBy>Luoying Li</cp:lastModifiedBy>
  <dcterms:created xsi:type="dcterms:W3CDTF">2017-10-09T03:06:31Z</dcterms:created>
  <dcterms:modified xsi:type="dcterms:W3CDTF">2017-11-02T01:29:42Z</dcterms:modified>
</cp:coreProperties>
</file>